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. README" sheetId="1" state="visible" r:id="rId1"/>
    <sheet name="1. Assumptions" sheetId="2" state="visible" r:id="rId2"/>
    <sheet name="2. Customer ramp" sheetId="3" state="visible" r:id="rId3"/>
    <sheet name="3. Revenue" sheetId="4" state="visible" r:id="rId4"/>
    <sheet name="4. Costs" sheetId="5" state="visible" r:id="rId5"/>
    <sheet name="5. P&amp;L 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;[Red](&quot;$&quot;#,##0)"/>
    <numFmt numFmtId="165" formatCode="&quot;$&quot;#,##0&quot; /mo&quot;"/>
  </numFmts>
  <fonts count="16">
    <font>
      <name val="Calibri"/>
      <family val="2"/>
      <color theme="1"/>
      <sz val="11"/>
      <scheme val="minor"/>
    </font>
    <font>
      <name val="Georgia"/>
      <b val="1"/>
      <color rgb="00FFFFFF"/>
      <sz val="14"/>
    </font>
    <font>
      <name val="Calibri"/>
      <i val="1"/>
      <color rgb="007A4F47"/>
      <sz val="10"/>
    </font>
    <font>
      <name val="Calibri"/>
      <b val="1"/>
      <color rgb="00FFFFFF"/>
      <sz val="11"/>
    </font>
    <font>
      <name val="Calibri"/>
      <sz val="10"/>
    </font>
    <font>
      <name val="Calibri"/>
      <color rgb="00000000"/>
      <sz val="10"/>
    </font>
    <font>
      <name val="Calibri"/>
      <i val="1"/>
      <color rgb="007A4F47"/>
      <sz val="9"/>
    </font>
    <font>
      <name val="Calibri"/>
      <b val="1"/>
      <color rgb="00FFFFFF"/>
      <sz val="10"/>
    </font>
    <font>
      <name val="Calibri"/>
      <b val="1"/>
      <sz val="10"/>
    </font>
    <font>
      <name val="Georgia"/>
      <b val="1"/>
      <color rgb="00FFFFFF"/>
      <sz val="12"/>
    </font>
    <font>
      <name val="Calibri"/>
      <b val="1"/>
      <color rgb="00B85042"/>
      <sz val="11"/>
    </font>
    <font>
      <name val="Calibri"/>
      <color rgb="007A4F47"/>
      <sz val="10"/>
    </font>
    <font>
      <name val="Georgia"/>
      <b val="1"/>
      <color rgb="00FFFFFF"/>
      <sz val="24"/>
    </font>
    <font>
      <name val="Georgia"/>
      <i val="1"/>
      <color rgb="00D4A843"/>
      <sz val="14"/>
    </font>
    <font>
      <name val="Calibri"/>
      <i val="1"/>
      <color rgb="007A4F47"/>
      <sz val="11"/>
    </font>
    <font>
      <name val="Calibri"/>
      <color rgb="002D1B1A"/>
      <sz val="10"/>
    </font>
  </fonts>
  <fills count="7">
    <fill>
      <patternFill/>
    </fill>
    <fill>
      <patternFill patternType="gray125"/>
    </fill>
    <fill>
      <patternFill patternType="solid">
        <fgColor rgb="002D1B1A"/>
      </patternFill>
    </fill>
    <fill>
      <patternFill patternType="solid">
        <fgColor rgb="00F5E6D3"/>
      </patternFill>
    </fill>
    <fill>
      <patternFill patternType="solid">
        <fgColor rgb="00D4A843"/>
      </patternFill>
    </fill>
    <fill>
      <patternFill patternType="solid">
        <fgColor rgb="00B85042"/>
      </patternFill>
    </fill>
    <fill>
      <patternFill patternType="solid">
        <fgColor rgb="00F0F0EC"/>
      </patternFill>
    </fill>
  </fills>
  <borders count="6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2" fillId="2" borderId="0" applyAlignment="1" pivotButton="0" quotePrefix="0" xfId="0">
      <alignment horizontal="left" vertical="center" indent="1"/>
    </xf>
    <xf numFmtId="0" fontId="13" fillId="2" borderId="0" applyAlignment="1" pivotButton="0" quotePrefix="0" xfId="0">
      <alignment horizontal="left" vertical="center" indent="1"/>
    </xf>
    <xf numFmtId="0" fontId="14" fillId="0" borderId="0" applyAlignment="1" pivotButton="0" quotePrefix="0" xfId="0">
      <alignment horizontal="left" indent="1"/>
    </xf>
    <xf numFmtId="0" fontId="10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 vertical="top" indent="1"/>
    </xf>
    <xf numFmtId="0" fontId="10" fillId="0" borderId="0" applyAlignment="1" pivotButton="0" quotePrefix="0" xfId="0">
      <alignment horizontal="left" vertical="top" indent="1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right" vertical="center"/>
    </xf>
    <xf numFmtId="0" fontId="0" fillId="6" borderId="0" pivotButton="0" quotePrefix="0" xfId="0"/>
    <xf numFmtId="0" fontId="8" fillId="6" borderId="1" applyAlignment="1" pivotButton="0" quotePrefix="0" xfId="0">
      <alignment horizontal="left" vertical="center"/>
    </xf>
    <xf numFmtId="164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center"/>
    </xf>
    <xf numFmtId="164" fontId="3" fillId="2" borderId="0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5" pivotButton="0" quotePrefix="0" xfId="0"/>
    <xf numFmtId="0" fontId="3" fillId="2" borderId="0" pivotButton="0" quotePrefix="0" xfId="0"/>
    <xf numFmtId="164" fontId="8" fillId="4" borderId="0" applyAlignment="1" pivotButton="0" quotePrefix="0" xfId="0">
      <alignment horizontal="right" vertical="center"/>
    </xf>
    <xf numFmtId="0" fontId="9" fillId="2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50" customHeight="1">
      <c r="A1" s="1" t="inlineStr">
        <is>
          <t>ZIMLIVESTOCK</t>
        </is>
      </c>
    </row>
    <row r="2" ht="28" customHeight="1">
      <c r="A2" s="2" t="inlineStr">
        <is>
          <t>Financial Model — 36-month SaPS projection</t>
        </is>
      </c>
    </row>
    <row r="3" ht="24" customHeight="1">
      <c r="A3" s="3" t="inlineStr">
        <is>
          <t>v1.0  ·  Tatenda Nyemudzo  ·  May 2026</t>
        </is>
      </c>
    </row>
    <row r="5">
      <c r="A5" s="4" t="inlineStr">
        <is>
          <t>WHAT'S IN THIS WORKBOOK</t>
        </is>
      </c>
    </row>
    <row r="6" ht="16" customHeight="1">
      <c r="A6" s="5" t="inlineStr"/>
    </row>
    <row r="7" ht="16" customHeight="1">
      <c r="A7" s="5" t="inlineStr">
        <is>
          <t>1. Assumptions — All inputs in gold cells. Pricing, customer GMV, penetration ramp,</t>
        </is>
      </c>
    </row>
    <row r="8" ht="16" customHeight="1">
      <c r="A8" s="5" t="inlineStr">
        <is>
          <t xml:space="preserve">                  headcount costs, infrastructure. Edit these to flex the model.</t>
        </is>
      </c>
    </row>
    <row r="9" ht="16" customHeight="1">
      <c r="A9" s="5" t="inlineStr"/>
    </row>
    <row r="10" ht="16" customHeight="1">
      <c r="A10" s="5" t="inlineStr">
        <is>
          <t>2. Customer ramp — The 10-customer schedule from the GTM (pilot → Tier B → Tier A → mix).</t>
        </is>
      </c>
    </row>
    <row r="11" ht="16" customHeight="1">
      <c r="A11" s="5" t="inlineStr">
        <is>
          <t xml:space="preserve">                   Shows engagement fee + retainer + steady-state tx GMV per house.</t>
        </is>
      </c>
    </row>
    <row r="12" ht="16" customHeight="1">
      <c r="A12" s="5" t="inlineStr"/>
    </row>
    <row r="13" ht="16" customHeight="1">
      <c r="A13" s="5" t="inlineStr">
        <is>
          <t>3. Revenue — Month-by-month revenue across all 10 customers and all 3 revenue lines</t>
        </is>
      </c>
    </row>
    <row r="14" ht="16" customHeight="1">
      <c r="A14" s="5" t="inlineStr">
        <is>
          <t xml:space="preserve">             (engagement, retainer, tx surcharge). Year totals at the bottom.</t>
        </is>
      </c>
    </row>
    <row r="15" ht="16" customHeight="1">
      <c r="A15" s="5" t="inlineStr"/>
    </row>
    <row r="16" ht="16" customHeight="1">
      <c r="A16" s="5" t="inlineStr">
        <is>
          <t>4. Costs — Headcount (founder, ops, engineer, BD) plus base + variable infra + opex.</t>
        </is>
      </c>
    </row>
    <row r="17" ht="16" customHeight="1">
      <c r="A17" s="5" t="inlineStr">
        <is>
          <t xml:space="preserve">           Headcount ramp aligns with customer ramp.</t>
        </is>
      </c>
    </row>
    <row r="18" ht="16" customHeight="1">
      <c r="A18" s="5" t="inlineStr"/>
    </row>
    <row r="19" ht="16" customHeight="1">
      <c r="A19" s="5" t="inlineStr">
        <is>
          <t>5. P&amp;L summary — Month-by-month revenue, costs, net, cumulative. Plus a yearly summary</t>
        </is>
      </c>
    </row>
    <row r="20" ht="16" customHeight="1">
      <c r="A20" s="5" t="inlineStr">
        <is>
          <t xml:space="preserve">                  and notes on what's modelled vs not.</t>
        </is>
      </c>
    </row>
    <row r="21" ht="16" customHeight="1">
      <c r="A21" s="5" t="inlineStr"/>
    </row>
    <row r="22" ht="16" customHeight="1">
      <c r="A22" s="5" t="inlineStr"/>
    </row>
    <row r="23" ht="16" customHeight="1">
      <c r="A23" s="6" t="inlineStr">
        <is>
          <t>HOW TO USE THIS</t>
        </is>
      </c>
    </row>
    <row r="24" ht="16" customHeight="1">
      <c r="A24" s="5" t="inlineStr"/>
    </row>
    <row r="25" ht="16" customHeight="1">
      <c r="A25" s="5" t="inlineStr">
        <is>
          <t>·  All inputs are on tab 1 (gold cells). Don't touch the white cells — they're formulas.</t>
        </is>
      </c>
    </row>
    <row r="26" ht="16" customHeight="1">
      <c r="A26" s="5" t="inlineStr">
        <is>
          <t>·  Change one input (e.g. close rate, retainer price, sale-day GMV) and watch the P&amp;L flex.</t>
        </is>
      </c>
    </row>
    <row r="27" ht="16" customHeight="1">
      <c r="A27" s="5" t="inlineStr">
        <is>
          <t>·  The customer schedule on tab 2 is hard-coded for clarity. Want a different ramp? Edit</t>
        </is>
      </c>
    </row>
    <row r="28" ht="16" customHeight="1">
      <c r="A28" s="5" t="inlineStr">
        <is>
          <t xml:space="preserve">   the dates in column B and the model recomputes.</t>
        </is>
      </c>
    </row>
    <row r="29" ht="16" customHeight="1">
      <c r="A29" s="5" t="inlineStr">
        <is>
          <t>·  All figures USD. The model doesn't account for fundraising or corporate tax.</t>
        </is>
      </c>
    </row>
    <row r="30" ht="16" customHeight="1">
      <c r="A30" s="5" t="inlineStr"/>
    </row>
    <row r="31" ht="16" customHeight="1">
      <c r="A31" s="5" t="inlineStr"/>
    </row>
    <row r="32" ht="16" customHeight="1">
      <c r="A32" s="6" t="inlineStr">
        <is>
          <t>KEY OUTPUTS AT BASELINE</t>
        </is>
      </c>
    </row>
    <row r="33" ht="16" customHeight="1">
      <c r="A33" s="5" t="inlineStr"/>
    </row>
    <row r="34" ht="16" customHeight="1">
      <c r="A34" s="5" t="inlineStr">
        <is>
          <t>·  Year 1 revenue:        ~$80–100k     (pilot + first paid engagement)</t>
        </is>
      </c>
    </row>
    <row r="35" ht="16" customHeight="1">
      <c r="A35" s="5" t="inlineStr">
        <is>
          <t>·  Year 2 revenue:        ~$250–300k    (3–4 houses fully active)</t>
        </is>
      </c>
    </row>
    <row r="36" ht="16" customHeight="1">
      <c r="A36" s="5" t="inlineStr">
        <is>
          <t>·  Year 3 revenue:        ~$500–700k    (8–10 houses, mix of tiers)</t>
        </is>
      </c>
    </row>
    <row r="37" ht="16" customHeight="1">
      <c r="A37" s="5" t="inlineStr">
        <is>
          <t>·  3-year cumulative net: positive by mid-year-2</t>
        </is>
      </c>
    </row>
    <row r="38" ht="16" customHeight="1">
      <c r="A38" s="5" t="inlineStr">
        <is>
          <t>·  Break-even:            month 12–14, dependent on hiring pace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32" customHeight="1">
      <c r="A1" s="7" t="inlineStr">
        <is>
          <t>ZIMLIVESTOCK — FINANCIAL MODEL ASSUMPTIONS</t>
        </is>
      </c>
    </row>
    <row r="2">
      <c r="A2" s="8" t="inlineStr">
        <is>
          <t>Gold cells = inputs (edit these). White cells = calculations (don't touch).</t>
        </is>
      </c>
    </row>
    <row r="4" ht="20" customHeight="1">
      <c r="A4" s="9" t="inlineStr">
        <is>
          <t>PRICING — per-customer revenue inputs</t>
        </is>
      </c>
    </row>
    <row r="5">
      <c r="A5" s="10" t="inlineStr">
        <is>
          <t>Engagement fee — Tier A (anchor house)</t>
        </is>
      </c>
      <c r="B5" s="11" t="n">
        <v>11000</v>
      </c>
      <c r="C5" s="12" t="inlineStr">
        <is>
          <t>Range $10–12k per business case</t>
        </is>
      </c>
    </row>
    <row r="6">
      <c r="A6" s="10" t="inlineStr">
        <is>
          <t>Engagement fee — Tier B (mid-market)</t>
        </is>
      </c>
      <c r="B6" s="11" t="n">
        <v>7500</v>
      </c>
      <c r="C6" s="12" t="inlineStr">
        <is>
          <t>Range $7–8k</t>
        </is>
      </c>
    </row>
    <row r="7">
      <c r="A7" s="10" t="inlineStr">
        <is>
          <t>Engagement fee — Tier C (small/regional)</t>
        </is>
      </c>
      <c r="B7" s="11" t="n">
        <v>5000</v>
      </c>
      <c r="C7" s="12" t="inlineStr">
        <is>
          <t>$5k per business case</t>
        </is>
      </c>
    </row>
    <row r="8">
      <c r="A8" s="10" t="inlineStr">
        <is>
          <t>Pilot engagement (discounted)</t>
        </is>
      </c>
      <c r="B8" s="11" t="n">
        <v>5000</v>
      </c>
      <c r="C8" s="12" t="inlineStr">
        <is>
          <t>$5k discount from $8k list</t>
        </is>
      </c>
    </row>
    <row r="9">
      <c r="A9" s="10" t="inlineStr">
        <is>
          <t>Monthly retainer — Tier A</t>
        </is>
      </c>
      <c r="B9" s="11" t="n">
        <v>2250</v>
      </c>
      <c r="C9" s="12" t="inlineStr">
        <is>
          <t>Mid of $2,000–$2,500 range</t>
        </is>
      </c>
    </row>
    <row r="10">
      <c r="A10" s="10" t="inlineStr">
        <is>
          <t>Monthly retainer — Tier B</t>
        </is>
      </c>
      <c r="B10" s="11" t="n">
        <v>1500</v>
      </c>
      <c r="C10" s="12" t="inlineStr">
        <is>
          <t>$1,500 per business case</t>
        </is>
      </c>
    </row>
    <row r="11">
      <c r="A11" s="10" t="inlineStr">
        <is>
          <t>Monthly retainer — Tier C</t>
        </is>
      </c>
      <c r="B11" s="11" t="n">
        <v>1200</v>
      </c>
      <c r="C11" s="12" t="inlineStr">
        <is>
          <t>$1,200 per business case</t>
        </is>
      </c>
    </row>
    <row r="12">
      <c r="A12" s="10" t="inlineStr">
        <is>
          <t>Monthly retainer — pilot phase</t>
        </is>
      </c>
      <c r="B12" s="11" t="n">
        <v>1200</v>
      </c>
      <c r="C12" s="12" t="inlineStr">
        <is>
          <t>Discounted pilot retainer</t>
        </is>
      </c>
    </row>
    <row r="13">
      <c r="A13" s="10" t="inlineStr">
        <is>
          <t>Transaction surcharge %</t>
        </is>
      </c>
      <c r="B13" s="13" t="n">
        <v>0.0075</v>
      </c>
      <c r="C13" s="12" t="inlineStr">
        <is>
          <t>0.75% per business case</t>
        </is>
      </c>
    </row>
    <row r="15" ht="20" customHeight="1">
      <c r="A15" s="9" t="inlineStr">
        <is>
          <t>CUSTOMER USAGE — GMV per customer</t>
        </is>
      </c>
    </row>
    <row r="16">
      <c r="A16" s="10" t="inlineStr">
        <is>
          <t>Sale-day GMV — Tier A</t>
        </is>
      </c>
      <c r="B16" s="11" t="n">
        <v>120000</v>
      </c>
      <c r="C16" s="12" t="inlineStr">
        <is>
          <t>$80–200k range; conservative mid</t>
        </is>
      </c>
    </row>
    <row r="17">
      <c r="A17" s="10" t="inlineStr">
        <is>
          <t>Sale-day GMV — Tier B</t>
        </is>
      </c>
      <c r="B17" s="11" t="n">
        <v>55000</v>
      </c>
      <c r="C17" s="12" t="inlineStr">
        <is>
          <t>$30–80k range</t>
        </is>
      </c>
    </row>
    <row r="18">
      <c r="A18" s="10" t="inlineStr">
        <is>
          <t>Sale-day GMV — Tier C</t>
        </is>
      </c>
      <c r="B18" s="11" t="n">
        <v>18000</v>
      </c>
      <c r="C18" s="12" t="inlineStr">
        <is>
          <t>$10–30k range</t>
        </is>
      </c>
    </row>
    <row r="19">
      <c r="A19" s="10" t="inlineStr">
        <is>
          <t>Sale days per month — Tier A</t>
        </is>
      </c>
      <c r="B19" s="14" t="n">
        <v>4</v>
      </c>
      <c r="C19" s="12" t="inlineStr">
        <is>
          <t>Weekly cadence</t>
        </is>
      </c>
    </row>
    <row r="20">
      <c r="A20" s="10" t="inlineStr">
        <is>
          <t>Sale days per month — Tier B</t>
        </is>
      </c>
      <c r="B20" s="14" t="n">
        <v>3</v>
      </c>
      <c r="C20" s="12" t="inlineStr">
        <is>
          <t>Weekly to fortnightly</t>
        </is>
      </c>
    </row>
    <row r="21">
      <c r="A21" s="10" t="inlineStr">
        <is>
          <t>Sale days per month — Tier C</t>
        </is>
      </c>
      <c r="B21" s="14" t="n">
        <v>2</v>
      </c>
      <c r="C21" s="12" t="inlineStr">
        <is>
          <t>Fortnightly</t>
        </is>
      </c>
    </row>
    <row r="22">
      <c r="A22" s="10" t="inlineStr">
        <is>
          <t>Platform penetration — months 1-3 (pilot)</t>
        </is>
      </c>
      <c r="B22" s="13" t="n">
        <v>0.15</v>
      </c>
      <c r="C22" s="12" t="inlineStr">
        <is>
          <t>15% of GMV during pilot</t>
        </is>
      </c>
    </row>
    <row r="23">
      <c r="A23" s="10" t="inlineStr">
        <is>
          <t>Platform penetration — months 4-9 (ramp)</t>
        </is>
      </c>
      <c r="B23" s="13" t="n">
        <v>0.4</v>
      </c>
      <c r="C23" s="12" t="inlineStr">
        <is>
          <t>40% during ramp</t>
        </is>
      </c>
    </row>
    <row r="24">
      <c r="A24" s="10" t="inlineStr">
        <is>
          <t>Platform penetration — months 10+ (steady)</t>
        </is>
      </c>
      <c r="B24" s="13" t="n">
        <v>0.7</v>
      </c>
      <c r="C24" s="12" t="inlineStr">
        <is>
          <t>70% at steady state</t>
        </is>
      </c>
    </row>
    <row r="26" ht="20" customHeight="1">
      <c r="A26" s="9" t="inlineStr">
        <is>
          <t>COSTS — infrastructure &amp; people</t>
        </is>
      </c>
    </row>
    <row r="27">
      <c r="A27" s="10" t="inlineStr">
        <is>
          <t>Founder salary / month</t>
        </is>
      </c>
      <c r="B27" s="11" t="n">
        <v>4000</v>
      </c>
      <c r="C27" s="12" t="inlineStr">
        <is>
          <t>USD equivalent</t>
        </is>
      </c>
    </row>
    <row r="28">
      <c r="A28" s="10" t="inlineStr">
        <is>
          <t>Ops lead salary / month</t>
        </is>
      </c>
      <c r="B28" s="11" t="n">
        <v>2500</v>
      </c>
      <c r="C28" s="12" t="inlineStr">
        <is>
          <t>Hired engagement #2 onwards</t>
        </is>
      </c>
    </row>
    <row r="29">
      <c r="A29" s="10" t="inlineStr">
        <is>
          <t>Engineer salary / month</t>
        </is>
      </c>
      <c r="B29" s="11" t="n">
        <v>3500</v>
      </c>
      <c r="C29" s="12" t="inlineStr">
        <is>
          <t>Hired around engagement #4</t>
        </is>
      </c>
    </row>
    <row r="30">
      <c r="A30" s="10" t="inlineStr">
        <is>
          <t>BD lead salary / month</t>
        </is>
      </c>
      <c r="B30" s="11" t="n">
        <v>2500</v>
      </c>
      <c r="C30" s="12" t="inlineStr">
        <is>
          <t>Hired in year 2</t>
        </is>
      </c>
    </row>
    <row r="31">
      <c r="A31" s="10" t="inlineStr">
        <is>
          <t>Base infrastructure / month</t>
        </is>
      </c>
      <c r="B31" s="11" t="n">
        <v>300</v>
      </c>
      <c r="C31" s="12" t="inlineStr">
        <is>
          <t>Supabase + Vercel + Cloudflare</t>
        </is>
      </c>
    </row>
    <row r="32">
      <c r="A32" s="10" t="inlineStr">
        <is>
          <t>Variable infra per active house / mo</t>
        </is>
      </c>
      <c r="B32" s="11" t="n">
        <v>150</v>
      </c>
      <c r="C32" s="12" t="inlineStr">
        <is>
          <t>SMS, Bisafe, support tools</t>
        </is>
      </c>
    </row>
    <row r="33">
      <c r="A33" s="10" t="inlineStr">
        <is>
          <t>Misc opex / month</t>
        </is>
      </c>
      <c r="B33" s="11" t="n">
        <v>500</v>
      </c>
      <c r="C33" s="12" t="inlineStr">
        <is>
          <t>Accounting, legal, tools</t>
        </is>
      </c>
    </row>
    <row r="35" ht="20" customHeight="1">
      <c r="A35" s="9" t="inlineStr">
        <is>
          <t>DEALMAKING — funnel + close rate</t>
        </is>
      </c>
    </row>
    <row r="36">
      <c r="A36" s="10" t="inlineStr">
        <is>
          <t>Close rate on discovery calls</t>
        </is>
      </c>
      <c r="B36" s="13" t="n">
        <v>0.2</v>
      </c>
      <c r="C36" s="12" t="inlineStr">
        <is>
          <t>1 in 5 per GTM</t>
        </is>
      </c>
    </row>
    <row r="37">
      <c r="A37" s="10" t="inlineStr">
        <is>
          <t>Months from contact to signature</t>
        </is>
      </c>
      <c r="B37" s="14" t="n">
        <v>3</v>
      </c>
      <c r="C37" s="12" t="inlineStr">
        <is>
          <t>Typical SaPS sales cycle</t>
        </is>
      </c>
    </row>
  </sheetData>
  <mergeCells count="33">
    <mergeCell ref="C16:E16"/>
    <mergeCell ref="A15:E15"/>
    <mergeCell ref="C31:E31"/>
    <mergeCell ref="C22:E22"/>
    <mergeCell ref="C9:E9"/>
    <mergeCell ref="A1:E1"/>
    <mergeCell ref="C21:E21"/>
    <mergeCell ref="C12:E12"/>
    <mergeCell ref="C36:E36"/>
    <mergeCell ref="C11:E11"/>
    <mergeCell ref="C27:E27"/>
    <mergeCell ref="C23:E23"/>
    <mergeCell ref="C8:E8"/>
    <mergeCell ref="C17:E17"/>
    <mergeCell ref="C7:E7"/>
    <mergeCell ref="C32:E32"/>
    <mergeCell ref="C28:E28"/>
    <mergeCell ref="A26:E26"/>
    <mergeCell ref="C13:E13"/>
    <mergeCell ref="A2:E2"/>
    <mergeCell ref="C19:E19"/>
    <mergeCell ref="C37:E37"/>
    <mergeCell ref="C18:E18"/>
    <mergeCell ref="C30:E30"/>
    <mergeCell ref="C6:E6"/>
    <mergeCell ref="C24:E24"/>
    <mergeCell ref="C33:E33"/>
    <mergeCell ref="A4:E4"/>
    <mergeCell ref="A35:E35"/>
    <mergeCell ref="C5:E5"/>
    <mergeCell ref="C29:E29"/>
    <mergeCell ref="C20:E20"/>
    <mergeCell ref="C10:E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22" customWidth="1" min="3" max="3"/>
    <col width="10" customWidth="1" min="4" max="4"/>
    <col width="14" customWidth="1" min="5" max="5"/>
    <col width="14" customWidth="1" min="6" max="6"/>
    <col width="18" customWidth="1" min="7" max="7"/>
    <col width="18" customWidth="1" min="8" max="8"/>
  </cols>
  <sheetData>
    <row r="1" ht="32" customHeight="1">
      <c r="A1" s="7" t="inlineStr">
        <is>
          <t>CUSTOMER RAMP — when each house joins, sized, and how penetration grows</t>
        </is>
      </c>
    </row>
    <row r="3" ht="30" customHeight="1">
      <c r="A3" s="15" t="inlineStr">
        <is>
          <t>#</t>
        </is>
      </c>
      <c r="B3" s="15" t="inlineStr">
        <is>
          <t>Sign month</t>
        </is>
      </c>
      <c r="C3" s="15" t="inlineStr">
        <is>
          <t>Customer label</t>
        </is>
      </c>
      <c r="D3" s="15" t="inlineStr">
        <is>
          <t>Tier</t>
        </is>
      </c>
      <c r="E3" s="15" t="inlineStr">
        <is>
          <t>Engagement</t>
        </is>
      </c>
      <c r="F3" s="15" t="inlineStr">
        <is>
          <t>Retainer</t>
        </is>
      </c>
      <c r="G3" s="15" t="inlineStr">
        <is>
          <t>Sale-day GMV</t>
        </is>
      </c>
      <c r="H3" s="15" t="inlineStr">
        <is>
          <t>Monthly tx GMV (steady)</t>
        </is>
      </c>
    </row>
    <row r="4">
      <c r="A4" s="10" t="n">
        <v>1</v>
      </c>
      <c r="B4" s="16" t="n">
        <v>3</v>
      </c>
      <c r="C4" s="10" t="inlineStr">
        <is>
          <t>Pilot — Harare house</t>
        </is>
      </c>
      <c r="D4" s="17" t="inlineStr">
        <is>
          <t>Pilot</t>
        </is>
      </c>
      <c r="E4" s="18" t="n">
        <v>5000</v>
      </c>
      <c r="F4" s="18" t="n">
        <v>1200</v>
      </c>
      <c r="G4" s="18" t="n">
        <v>120000</v>
      </c>
      <c r="H4" s="18">
        <f>G4*4*'1. Assumptions'!B25</f>
        <v/>
      </c>
    </row>
    <row r="5">
      <c r="A5" s="10" t="n">
        <v>2</v>
      </c>
      <c r="B5" s="16" t="n">
        <v>8</v>
      </c>
      <c r="C5" s="10" t="inlineStr">
        <is>
          <t>Tier B Bulawayo</t>
        </is>
      </c>
      <c r="D5" s="17" t="inlineStr">
        <is>
          <t>B</t>
        </is>
      </c>
      <c r="E5" s="18" t="n">
        <v>7500</v>
      </c>
      <c r="F5" s="18" t="n">
        <v>1500</v>
      </c>
      <c r="G5" s="18" t="n">
        <v>55000</v>
      </c>
      <c r="H5" s="18">
        <f>G5*3*'1. Assumptions'!B25</f>
        <v/>
      </c>
    </row>
    <row r="6">
      <c r="A6" s="10" t="n">
        <v>3</v>
      </c>
      <c r="B6" s="16" t="n">
        <v>12</v>
      </c>
      <c r="C6" s="10" t="inlineStr">
        <is>
          <t>Tier A Gweru</t>
        </is>
      </c>
      <c r="D6" s="17" t="inlineStr">
        <is>
          <t>A</t>
        </is>
      </c>
      <c r="E6" s="18" t="n">
        <v>11000</v>
      </c>
      <c r="F6" s="18" t="n">
        <v>2250</v>
      </c>
      <c r="G6" s="18" t="n">
        <v>120000</v>
      </c>
      <c r="H6" s="18">
        <f>G6*4*'1. Assumptions'!B25</f>
        <v/>
      </c>
    </row>
    <row r="7">
      <c r="A7" s="10" t="n">
        <v>4</v>
      </c>
      <c r="B7" s="16" t="n">
        <v>15</v>
      </c>
      <c r="C7" s="10" t="inlineStr">
        <is>
          <t>Tier B Mutare</t>
        </is>
      </c>
      <c r="D7" s="17" t="inlineStr">
        <is>
          <t>B</t>
        </is>
      </c>
      <c r="E7" s="18" t="n">
        <v>7500</v>
      </c>
      <c r="F7" s="18" t="n">
        <v>1500</v>
      </c>
      <c r="G7" s="18" t="n">
        <v>55000</v>
      </c>
      <c r="H7" s="18">
        <f>G7*3*'1. Assumptions'!B25</f>
        <v/>
      </c>
    </row>
    <row r="8">
      <c r="A8" s="10" t="n">
        <v>5</v>
      </c>
      <c r="B8" s="16" t="n">
        <v>18</v>
      </c>
      <c r="C8" s="10" t="inlineStr">
        <is>
          <t>Tier B Masvingo</t>
        </is>
      </c>
      <c r="D8" s="17" t="inlineStr">
        <is>
          <t>B</t>
        </is>
      </c>
      <c r="E8" s="18" t="n">
        <v>7500</v>
      </c>
      <c r="F8" s="18" t="n">
        <v>1500</v>
      </c>
      <c r="G8" s="18" t="n">
        <v>55000</v>
      </c>
      <c r="H8" s="18">
        <f>G8*3*'1. Assumptions'!B25</f>
        <v/>
      </c>
    </row>
    <row r="9">
      <c r="A9" s="10" t="n">
        <v>6</v>
      </c>
      <c r="B9" s="16" t="n">
        <v>21</v>
      </c>
      <c r="C9" s="10" t="inlineStr">
        <is>
          <t>Tier A Harare #2</t>
        </is>
      </c>
      <c r="D9" s="17" t="inlineStr">
        <is>
          <t>A</t>
        </is>
      </c>
      <c r="E9" s="18" t="n">
        <v>11000</v>
      </c>
      <c r="F9" s="18" t="n">
        <v>2250</v>
      </c>
      <c r="G9" s="18" t="n">
        <v>120000</v>
      </c>
      <c r="H9" s="18">
        <f>G9*4*'1. Assumptions'!B25</f>
        <v/>
      </c>
    </row>
    <row r="10">
      <c r="A10" s="10" t="n">
        <v>7</v>
      </c>
      <c r="B10" s="16" t="n">
        <v>24</v>
      </c>
      <c r="C10" s="10" t="inlineStr">
        <is>
          <t>Tier C Chinhoyi</t>
        </is>
      </c>
      <c r="D10" s="17" t="inlineStr">
        <is>
          <t>C</t>
        </is>
      </c>
      <c r="E10" s="18" t="n">
        <v>5000</v>
      </c>
      <c r="F10" s="18" t="n">
        <v>1200</v>
      </c>
      <c r="G10" s="18" t="n">
        <v>18000</v>
      </c>
      <c r="H10" s="18">
        <f>G10*2*'1. Assumptions'!B25</f>
        <v/>
      </c>
    </row>
    <row r="11">
      <c r="A11" s="10" t="n">
        <v>8</v>
      </c>
      <c r="B11" s="16" t="n">
        <v>27</v>
      </c>
      <c r="C11" s="10" t="inlineStr">
        <is>
          <t>Tier B Kwekwe</t>
        </is>
      </c>
      <c r="D11" s="17" t="inlineStr">
        <is>
          <t>B</t>
        </is>
      </c>
      <c r="E11" s="18" t="n">
        <v>7500</v>
      </c>
      <c r="F11" s="18" t="n">
        <v>1500</v>
      </c>
      <c r="G11" s="18" t="n">
        <v>55000</v>
      </c>
      <c r="H11" s="18">
        <f>G11*3*'1. Assumptions'!B25</f>
        <v/>
      </c>
    </row>
    <row r="12">
      <c r="A12" s="10" t="n">
        <v>9</v>
      </c>
      <c r="B12" s="16" t="n">
        <v>30</v>
      </c>
      <c r="C12" s="10" t="inlineStr">
        <is>
          <t>Tier A Bulawayo #2</t>
        </is>
      </c>
      <c r="D12" s="17" t="inlineStr">
        <is>
          <t>A</t>
        </is>
      </c>
      <c r="E12" s="18" t="n">
        <v>11000</v>
      </c>
      <c r="F12" s="18" t="n">
        <v>2250</v>
      </c>
      <c r="G12" s="18" t="n">
        <v>120000</v>
      </c>
      <c r="H12" s="18">
        <f>G12*4*'1. Assumptions'!B25</f>
        <v/>
      </c>
    </row>
    <row r="13">
      <c r="A13" s="10" t="n">
        <v>10</v>
      </c>
      <c r="B13" s="16" t="n">
        <v>33</v>
      </c>
      <c r="C13" s="10" t="inlineStr">
        <is>
          <t>Tier C Beitbridge</t>
        </is>
      </c>
      <c r="D13" s="17" t="inlineStr">
        <is>
          <t>C</t>
        </is>
      </c>
      <c r="E13" s="18" t="n">
        <v>5000</v>
      </c>
      <c r="F13" s="18" t="n">
        <v>1200</v>
      </c>
      <c r="G13" s="18" t="n">
        <v>18000</v>
      </c>
      <c r="H13" s="18">
        <f>G13*2*'1. Assumptions'!B25</f>
        <v/>
      </c>
    </row>
    <row r="14">
      <c r="A14" s="19" t="inlineStr"/>
      <c r="B14" s="19" t="inlineStr"/>
      <c r="C14" s="20" t="inlineStr">
        <is>
          <t>TOTAL — 10 houses by month 33</t>
        </is>
      </c>
      <c r="D14" s="19" t="inlineStr"/>
      <c r="E14" s="21">
        <f>SUM(E4:E13)</f>
        <v/>
      </c>
      <c r="F14" s="22">
        <f>SUM(F4:F13)</f>
        <v/>
      </c>
      <c r="G14" s="19" t="inlineStr"/>
      <c r="H14" s="21">
        <f>SUM(H4:H13)</f>
        <v/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4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</cols>
  <sheetData>
    <row r="1" ht="32" customHeight="1">
      <c r="A1" s="7" t="inlineStr">
        <is>
          <t>MONTHLY REVENUE — 36-month projection</t>
        </is>
      </c>
    </row>
    <row r="3" ht="26" customHeight="1">
      <c r="A3" s="15" t="inlineStr">
        <is>
          <t>Month</t>
        </is>
      </c>
      <c r="B3" s="15" t="n">
        <v>1</v>
      </c>
      <c r="C3" s="15" t="n">
        <v>2</v>
      </c>
      <c r="D3" s="15" t="n">
        <v>3</v>
      </c>
      <c r="E3" s="15" t="n">
        <v>4</v>
      </c>
      <c r="F3" s="15" t="n">
        <v>5</v>
      </c>
      <c r="G3" s="15" t="n">
        <v>6</v>
      </c>
      <c r="H3" s="15" t="n">
        <v>7</v>
      </c>
      <c r="I3" s="15" t="n">
        <v>8</v>
      </c>
      <c r="J3" s="15" t="n">
        <v>9</v>
      </c>
      <c r="K3" s="15" t="n">
        <v>10</v>
      </c>
      <c r="L3" s="15" t="n">
        <v>11</v>
      </c>
      <c r="M3" s="15" t="n">
        <v>12</v>
      </c>
      <c r="N3" s="15" t="n">
        <v>13</v>
      </c>
      <c r="O3" s="15" t="n">
        <v>14</v>
      </c>
      <c r="P3" s="15" t="n">
        <v>15</v>
      </c>
      <c r="Q3" s="15" t="n">
        <v>16</v>
      </c>
      <c r="R3" s="15" t="n">
        <v>17</v>
      </c>
      <c r="S3" s="15" t="n">
        <v>18</v>
      </c>
      <c r="T3" s="15" t="n">
        <v>19</v>
      </c>
      <c r="U3" s="15" t="n">
        <v>20</v>
      </c>
      <c r="V3" s="15" t="n">
        <v>21</v>
      </c>
      <c r="W3" s="15" t="n">
        <v>22</v>
      </c>
      <c r="X3" s="15" t="n">
        <v>23</v>
      </c>
      <c r="Y3" s="15" t="n">
        <v>24</v>
      </c>
      <c r="Z3" s="15" t="n">
        <v>25</v>
      </c>
      <c r="AA3" s="15" t="n">
        <v>26</v>
      </c>
      <c r="AB3" s="15" t="n">
        <v>27</v>
      </c>
      <c r="AC3" s="15" t="n">
        <v>28</v>
      </c>
      <c r="AD3" s="15" t="n">
        <v>29</v>
      </c>
      <c r="AE3" s="15" t="n">
        <v>30</v>
      </c>
      <c r="AF3" s="15" t="n">
        <v>31</v>
      </c>
      <c r="AG3" s="15" t="n">
        <v>32</v>
      </c>
      <c r="AH3" s="15" t="n">
        <v>33</v>
      </c>
      <c r="AI3" s="15" t="n">
        <v>34</v>
      </c>
      <c r="AJ3" s="15" t="n">
        <v>35</v>
      </c>
      <c r="AK3" s="15" t="n">
        <v>36</v>
      </c>
    </row>
    <row r="4">
      <c r="A4" s="20" t="inlineStr">
        <is>
          <t>ENGAGEMENT FEES</t>
        </is>
      </c>
    </row>
    <row r="5">
      <c r="A5" s="10" t="inlineStr">
        <is>
          <t>Pilot — Harare house</t>
        </is>
      </c>
      <c r="B5" s="18" t="n">
        <v>0</v>
      </c>
      <c r="C5" s="18" t="n">
        <v>0</v>
      </c>
      <c r="D5" s="18" t="n">
        <v>5000</v>
      </c>
      <c r="E5" s="18" t="n">
        <v>0</v>
      </c>
      <c r="F5" s="18" t="n">
        <v>0</v>
      </c>
      <c r="G5" s="18" t="n">
        <v>0</v>
      </c>
      <c r="H5" s="18" t="n">
        <v>0</v>
      </c>
      <c r="I5" s="18" t="n">
        <v>0</v>
      </c>
      <c r="J5" s="18" t="n">
        <v>0</v>
      </c>
      <c r="K5" s="18" t="n">
        <v>0</v>
      </c>
      <c r="L5" s="18" t="n">
        <v>0</v>
      </c>
      <c r="M5" s="18" t="n">
        <v>0</v>
      </c>
      <c r="N5" s="18" t="n">
        <v>0</v>
      </c>
      <c r="O5" s="18" t="n">
        <v>0</v>
      </c>
      <c r="P5" s="18" t="n">
        <v>0</v>
      </c>
      <c r="Q5" s="18" t="n">
        <v>0</v>
      </c>
      <c r="R5" s="18" t="n">
        <v>0</v>
      </c>
      <c r="S5" s="18" t="n">
        <v>0</v>
      </c>
      <c r="T5" s="18" t="n">
        <v>0</v>
      </c>
      <c r="U5" s="18" t="n">
        <v>0</v>
      </c>
      <c r="V5" s="18" t="n">
        <v>0</v>
      </c>
      <c r="W5" s="18" t="n">
        <v>0</v>
      </c>
      <c r="X5" s="18" t="n">
        <v>0</v>
      </c>
      <c r="Y5" s="18" t="n">
        <v>0</v>
      </c>
      <c r="Z5" s="18" t="n">
        <v>0</v>
      </c>
      <c r="AA5" s="18" t="n">
        <v>0</v>
      </c>
      <c r="AB5" s="18" t="n">
        <v>0</v>
      </c>
      <c r="AC5" s="18" t="n">
        <v>0</v>
      </c>
      <c r="AD5" s="18" t="n">
        <v>0</v>
      </c>
      <c r="AE5" s="18" t="n">
        <v>0</v>
      </c>
      <c r="AF5" s="18" t="n">
        <v>0</v>
      </c>
      <c r="AG5" s="18" t="n">
        <v>0</v>
      </c>
      <c r="AH5" s="18" t="n">
        <v>0</v>
      </c>
      <c r="AI5" s="18" t="n">
        <v>0</v>
      </c>
      <c r="AJ5" s="18" t="n">
        <v>0</v>
      </c>
      <c r="AK5" s="18" t="n">
        <v>0</v>
      </c>
    </row>
    <row r="6">
      <c r="A6" s="10" t="inlineStr">
        <is>
          <t>Tier B Bulawayo</t>
        </is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0</v>
      </c>
      <c r="G6" s="18" t="n">
        <v>0</v>
      </c>
      <c r="H6" s="18" t="n">
        <v>0</v>
      </c>
      <c r="I6" s="18" t="n">
        <v>7500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  <c r="O6" s="18" t="n">
        <v>0</v>
      </c>
      <c r="P6" s="18" t="n">
        <v>0</v>
      </c>
      <c r="Q6" s="18" t="n">
        <v>0</v>
      </c>
      <c r="R6" s="18" t="n">
        <v>0</v>
      </c>
      <c r="S6" s="18" t="n">
        <v>0</v>
      </c>
      <c r="T6" s="18" t="n">
        <v>0</v>
      </c>
      <c r="U6" s="18" t="n">
        <v>0</v>
      </c>
      <c r="V6" s="18" t="n">
        <v>0</v>
      </c>
      <c r="W6" s="18" t="n">
        <v>0</v>
      </c>
      <c r="X6" s="18" t="n">
        <v>0</v>
      </c>
      <c r="Y6" s="18" t="n">
        <v>0</v>
      </c>
      <c r="Z6" s="18" t="n">
        <v>0</v>
      </c>
      <c r="AA6" s="18" t="n">
        <v>0</v>
      </c>
      <c r="AB6" s="18" t="n">
        <v>0</v>
      </c>
      <c r="AC6" s="18" t="n">
        <v>0</v>
      </c>
      <c r="AD6" s="18" t="n">
        <v>0</v>
      </c>
      <c r="AE6" s="18" t="n">
        <v>0</v>
      </c>
      <c r="AF6" s="18" t="n">
        <v>0</v>
      </c>
      <c r="AG6" s="18" t="n">
        <v>0</v>
      </c>
      <c r="AH6" s="18" t="n">
        <v>0</v>
      </c>
      <c r="AI6" s="18" t="n">
        <v>0</v>
      </c>
      <c r="AJ6" s="18" t="n">
        <v>0</v>
      </c>
      <c r="AK6" s="18" t="n">
        <v>0</v>
      </c>
    </row>
    <row r="7">
      <c r="A7" s="10" t="inlineStr">
        <is>
          <t>Tier A Gweru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11000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  <c r="AD7" s="18" t="n">
        <v>0</v>
      </c>
      <c r="AE7" s="18" t="n">
        <v>0</v>
      </c>
      <c r="AF7" s="18" t="n">
        <v>0</v>
      </c>
      <c r="AG7" s="18" t="n">
        <v>0</v>
      </c>
      <c r="AH7" s="18" t="n">
        <v>0</v>
      </c>
      <c r="AI7" s="18" t="n">
        <v>0</v>
      </c>
      <c r="AJ7" s="18" t="n">
        <v>0</v>
      </c>
      <c r="AK7" s="18" t="n">
        <v>0</v>
      </c>
    </row>
    <row r="8">
      <c r="A8" s="10" t="inlineStr">
        <is>
          <t>Tier B Mutare</t>
        </is>
      </c>
      <c r="B8" s="18" t="n">
        <v>0</v>
      </c>
      <c r="C8" s="18" t="n">
        <v>0</v>
      </c>
      <c r="D8" s="18" t="n">
        <v>0</v>
      </c>
      <c r="E8" s="18" t="n">
        <v>0</v>
      </c>
      <c r="F8" s="18" t="n">
        <v>0</v>
      </c>
      <c r="G8" s="18" t="n">
        <v>0</v>
      </c>
      <c r="H8" s="18" t="n">
        <v>0</v>
      </c>
      <c r="I8" s="18" t="n">
        <v>0</v>
      </c>
      <c r="J8" s="18" t="n">
        <v>0</v>
      </c>
      <c r="K8" s="18" t="n">
        <v>0</v>
      </c>
      <c r="L8" s="18" t="n">
        <v>0</v>
      </c>
      <c r="M8" s="18" t="n">
        <v>0</v>
      </c>
      <c r="N8" s="18" t="n">
        <v>0</v>
      </c>
      <c r="O8" s="18" t="n">
        <v>0</v>
      </c>
      <c r="P8" s="18" t="n">
        <v>7500</v>
      </c>
      <c r="Q8" s="18" t="n">
        <v>0</v>
      </c>
      <c r="R8" s="18" t="n">
        <v>0</v>
      </c>
      <c r="S8" s="18" t="n">
        <v>0</v>
      </c>
      <c r="T8" s="18" t="n">
        <v>0</v>
      </c>
      <c r="U8" s="18" t="n">
        <v>0</v>
      </c>
      <c r="V8" s="18" t="n">
        <v>0</v>
      </c>
      <c r="W8" s="18" t="n">
        <v>0</v>
      </c>
      <c r="X8" s="18" t="n">
        <v>0</v>
      </c>
      <c r="Y8" s="18" t="n">
        <v>0</v>
      </c>
      <c r="Z8" s="18" t="n">
        <v>0</v>
      </c>
      <c r="AA8" s="18" t="n">
        <v>0</v>
      </c>
      <c r="AB8" s="18" t="n">
        <v>0</v>
      </c>
      <c r="AC8" s="18" t="n">
        <v>0</v>
      </c>
      <c r="AD8" s="18" t="n">
        <v>0</v>
      </c>
      <c r="AE8" s="18" t="n">
        <v>0</v>
      </c>
      <c r="AF8" s="18" t="n">
        <v>0</v>
      </c>
      <c r="AG8" s="18" t="n">
        <v>0</v>
      </c>
      <c r="AH8" s="18" t="n">
        <v>0</v>
      </c>
      <c r="AI8" s="18" t="n">
        <v>0</v>
      </c>
      <c r="AJ8" s="18" t="n">
        <v>0</v>
      </c>
      <c r="AK8" s="18" t="n">
        <v>0</v>
      </c>
    </row>
    <row r="9">
      <c r="A9" s="10" t="inlineStr">
        <is>
          <t>Tier B Masvingo</t>
        </is>
      </c>
      <c r="B9" s="18" t="n">
        <v>0</v>
      </c>
      <c r="C9" s="18" t="n">
        <v>0</v>
      </c>
      <c r="D9" s="18" t="n">
        <v>0</v>
      </c>
      <c r="E9" s="18" t="n">
        <v>0</v>
      </c>
      <c r="F9" s="18" t="n">
        <v>0</v>
      </c>
      <c r="G9" s="18" t="n">
        <v>0</v>
      </c>
      <c r="H9" s="18" t="n">
        <v>0</v>
      </c>
      <c r="I9" s="18" t="n">
        <v>0</v>
      </c>
      <c r="J9" s="18" t="n">
        <v>0</v>
      </c>
      <c r="K9" s="18" t="n">
        <v>0</v>
      </c>
      <c r="L9" s="18" t="n">
        <v>0</v>
      </c>
      <c r="M9" s="18" t="n">
        <v>0</v>
      </c>
      <c r="N9" s="18" t="n">
        <v>0</v>
      </c>
      <c r="O9" s="18" t="n">
        <v>0</v>
      </c>
      <c r="P9" s="18" t="n">
        <v>0</v>
      </c>
      <c r="Q9" s="18" t="n">
        <v>0</v>
      </c>
      <c r="R9" s="18" t="n">
        <v>0</v>
      </c>
      <c r="S9" s="18" t="n">
        <v>7500</v>
      </c>
      <c r="T9" s="18" t="n">
        <v>0</v>
      </c>
      <c r="U9" s="18" t="n">
        <v>0</v>
      </c>
      <c r="V9" s="18" t="n">
        <v>0</v>
      </c>
      <c r="W9" s="18" t="n">
        <v>0</v>
      </c>
      <c r="X9" s="18" t="n">
        <v>0</v>
      </c>
      <c r="Y9" s="18" t="n">
        <v>0</v>
      </c>
      <c r="Z9" s="18" t="n">
        <v>0</v>
      </c>
      <c r="AA9" s="18" t="n">
        <v>0</v>
      </c>
      <c r="AB9" s="18" t="n">
        <v>0</v>
      </c>
      <c r="AC9" s="18" t="n">
        <v>0</v>
      </c>
      <c r="AD9" s="18" t="n">
        <v>0</v>
      </c>
      <c r="AE9" s="18" t="n">
        <v>0</v>
      </c>
      <c r="AF9" s="18" t="n">
        <v>0</v>
      </c>
      <c r="AG9" s="18" t="n">
        <v>0</v>
      </c>
      <c r="AH9" s="18" t="n">
        <v>0</v>
      </c>
      <c r="AI9" s="18" t="n">
        <v>0</v>
      </c>
      <c r="AJ9" s="18" t="n">
        <v>0</v>
      </c>
      <c r="AK9" s="18" t="n">
        <v>0</v>
      </c>
    </row>
    <row r="10">
      <c r="A10" s="10" t="inlineStr">
        <is>
          <t>Tier A Harare #2</t>
        </is>
      </c>
      <c r="B10" s="18" t="n">
        <v>0</v>
      </c>
      <c r="C10" s="18" t="n">
        <v>0</v>
      </c>
      <c r="D10" s="18" t="n">
        <v>0</v>
      </c>
      <c r="E10" s="18" t="n">
        <v>0</v>
      </c>
      <c r="F10" s="18" t="n">
        <v>0</v>
      </c>
      <c r="G10" s="18" t="n">
        <v>0</v>
      </c>
      <c r="H10" s="18" t="n">
        <v>0</v>
      </c>
      <c r="I10" s="18" t="n">
        <v>0</v>
      </c>
      <c r="J10" s="18" t="n">
        <v>0</v>
      </c>
      <c r="K10" s="18" t="n">
        <v>0</v>
      </c>
      <c r="L10" s="18" t="n">
        <v>0</v>
      </c>
      <c r="M10" s="18" t="n">
        <v>0</v>
      </c>
      <c r="N10" s="18" t="n">
        <v>0</v>
      </c>
      <c r="O10" s="18" t="n">
        <v>0</v>
      </c>
      <c r="P10" s="18" t="n">
        <v>0</v>
      </c>
      <c r="Q10" s="18" t="n">
        <v>0</v>
      </c>
      <c r="R10" s="18" t="n">
        <v>0</v>
      </c>
      <c r="S10" s="18" t="n">
        <v>0</v>
      </c>
      <c r="T10" s="18" t="n">
        <v>0</v>
      </c>
      <c r="U10" s="18" t="n">
        <v>0</v>
      </c>
      <c r="V10" s="18" t="n">
        <v>11000</v>
      </c>
      <c r="W10" s="18" t="n">
        <v>0</v>
      </c>
      <c r="X10" s="18" t="n">
        <v>0</v>
      </c>
      <c r="Y10" s="18" t="n">
        <v>0</v>
      </c>
      <c r="Z10" s="18" t="n">
        <v>0</v>
      </c>
      <c r="AA10" s="18" t="n">
        <v>0</v>
      </c>
      <c r="AB10" s="18" t="n">
        <v>0</v>
      </c>
      <c r="AC10" s="18" t="n">
        <v>0</v>
      </c>
      <c r="AD10" s="18" t="n">
        <v>0</v>
      </c>
      <c r="AE10" s="18" t="n">
        <v>0</v>
      </c>
      <c r="AF10" s="18" t="n">
        <v>0</v>
      </c>
      <c r="AG10" s="18" t="n">
        <v>0</v>
      </c>
      <c r="AH10" s="18" t="n">
        <v>0</v>
      </c>
      <c r="AI10" s="18" t="n">
        <v>0</v>
      </c>
      <c r="AJ10" s="18" t="n">
        <v>0</v>
      </c>
      <c r="AK10" s="18" t="n">
        <v>0</v>
      </c>
    </row>
    <row r="11">
      <c r="A11" s="10" t="inlineStr">
        <is>
          <t>Tier C Chinhoyi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  <c r="G11" s="18" t="n">
        <v>0</v>
      </c>
      <c r="H11" s="18" t="n">
        <v>0</v>
      </c>
      <c r="I11" s="18" t="n">
        <v>0</v>
      </c>
      <c r="J11" s="18" t="n">
        <v>0</v>
      </c>
      <c r="K11" s="18" t="n">
        <v>0</v>
      </c>
      <c r="L11" s="18" t="n">
        <v>0</v>
      </c>
      <c r="M11" s="18" t="n">
        <v>0</v>
      </c>
      <c r="N11" s="18" t="n">
        <v>0</v>
      </c>
      <c r="O11" s="18" t="n">
        <v>0</v>
      </c>
      <c r="P11" s="18" t="n">
        <v>0</v>
      </c>
      <c r="Q11" s="18" t="n">
        <v>0</v>
      </c>
      <c r="R11" s="18" t="n">
        <v>0</v>
      </c>
      <c r="S11" s="18" t="n">
        <v>0</v>
      </c>
      <c r="T11" s="18" t="n">
        <v>0</v>
      </c>
      <c r="U11" s="18" t="n">
        <v>0</v>
      </c>
      <c r="V11" s="18" t="n">
        <v>0</v>
      </c>
      <c r="W11" s="18" t="n">
        <v>0</v>
      </c>
      <c r="X11" s="18" t="n">
        <v>0</v>
      </c>
      <c r="Y11" s="18" t="n">
        <v>5000</v>
      </c>
      <c r="Z11" s="18" t="n">
        <v>0</v>
      </c>
      <c r="AA11" s="18" t="n">
        <v>0</v>
      </c>
      <c r="AB11" s="18" t="n">
        <v>0</v>
      </c>
      <c r="AC11" s="18" t="n">
        <v>0</v>
      </c>
      <c r="AD11" s="18" t="n">
        <v>0</v>
      </c>
      <c r="AE11" s="18" t="n">
        <v>0</v>
      </c>
      <c r="AF11" s="18" t="n">
        <v>0</v>
      </c>
      <c r="AG11" s="18" t="n">
        <v>0</v>
      </c>
      <c r="AH11" s="18" t="n">
        <v>0</v>
      </c>
      <c r="AI11" s="18" t="n">
        <v>0</v>
      </c>
      <c r="AJ11" s="18" t="n">
        <v>0</v>
      </c>
      <c r="AK11" s="18" t="n">
        <v>0</v>
      </c>
    </row>
    <row r="12">
      <c r="A12" s="10" t="inlineStr">
        <is>
          <t>Tier B Kwekwe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18" t="n">
        <v>0</v>
      </c>
      <c r="L12" s="18" t="n">
        <v>0</v>
      </c>
      <c r="M12" s="18" t="n">
        <v>0</v>
      </c>
      <c r="N12" s="18" t="n">
        <v>0</v>
      </c>
      <c r="O12" s="18" t="n">
        <v>0</v>
      </c>
      <c r="P12" s="18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18" t="n">
        <v>0</v>
      </c>
      <c r="V12" s="18" t="n">
        <v>0</v>
      </c>
      <c r="W12" s="18" t="n">
        <v>0</v>
      </c>
      <c r="X12" s="18" t="n">
        <v>0</v>
      </c>
      <c r="Y12" s="18" t="n">
        <v>0</v>
      </c>
      <c r="Z12" s="18" t="n">
        <v>0</v>
      </c>
      <c r="AA12" s="18" t="n">
        <v>0</v>
      </c>
      <c r="AB12" s="18" t="n">
        <v>7500</v>
      </c>
      <c r="AC12" s="18" t="n">
        <v>0</v>
      </c>
      <c r="AD12" s="18" t="n">
        <v>0</v>
      </c>
      <c r="AE12" s="18" t="n">
        <v>0</v>
      </c>
      <c r="AF12" s="18" t="n">
        <v>0</v>
      </c>
      <c r="AG12" s="18" t="n">
        <v>0</v>
      </c>
      <c r="AH12" s="18" t="n">
        <v>0</v>
      </c>
      <c r="AI12" s="18" t="n">
        <v>0</v>
      </c>
      <c r="AJ12" s="18" t="n">
        <v>0</v>
      </c>
      <c r="AK12" s="18" t="n">
        <v>0</v>
      </c>
    </row>
    <row r="13">
      <c r="A13" s="10" t="inlineStr">
        <is>
          <t>Tier A Bulawayo #2</t>
        </is>
      </c>
      <c r="B13" s="18" t="n">
        <v>0</v>
      </c>
      <c r="C13" s="18" t="n">
        <v>0</v>
      </c>
      <c r="D13" s="18" t="n">
        <v>0</v>
      </c>
      <c r="E13" s="18" t="n">
        <v>0</v>
      </c>
      <c r="F13" s="18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18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18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18" t="n">
        <v>0</v>
      </c>
      <c r="V13" s="18" t="n">
        <v>0</v>
      </c>
      <c r="W13" s="18" t="n">
        <v>0</v>
      </c>
      <c r="X13" s="18" t="n">
        <v>0</v>
      </c>
      <c r="Y13" s="18" t="n">
        <v>0</v>
      </c>
      <c r="Z13" s="18" t="n">
        <v>0</v>
      </c>
      <c r="AA13" s="18" t="n">
        <v>0</v>
      </c>
      <c r="AB13" s="18" t="n">
        <v>0</v>
      </c>
      <c r="AC13" s="18" t="n">
        <v>0</v>
      </c>
      <c r="AD13" s="18" t="n">
        <v>0</v>
      </c>
      <c r="AE13" s="18" t="n">
        <v>11000</v>
      </c>
      <c r="AF13" s="18" t="n">
        <v>0</v>
      </c>
      <c r="AG13" s="18" t="n">
        <v>0</v>
      </c>
      <c r="AH13" s="18" t="n">
        <v>0</v>
      </c>
      <c r="AI13" s="18" t="n">
        <v>0</v>
      </c>
      <c r="AJ13" s="18" t="n">
        <v>0</v>
      </c>
      <c r="AK13" s="18" t="n">
        <v>0</v>
      </c>
    </row>
    <row r="14">
      <c r="A14" s="10" t="inlineStr">
        <is>
          <t>Tier C Beitbridge</t>
        </is>
      </c>
      <c r="B14" s="18" t="n">
        <v>0</v>
      </c>
      <c r="C14" s="18" t="n">
        <v>0</v>
      </c>
      <c r="D14" s="18" t="n">
        <v>0</v>
      </c>
      <c r="E14" s="18" t="n">
        <v>0</v>
      </c>
      <c r="F14" s="18" t="n">
        <v>0</v>
      </c>
      <c r="G14" s="18" t="n">
        <v>0</v>
      </c>
      <c r="H14" s="18" t="n">
        <v>0</v>
      </c>
      <c r="I14" s="18" t="n">
        <v>0</v>
      </c>
      <c r="J14" s="18" t="n">
        <v>0</v>
      </c>
      <c r="K14" s="18" t="n">
        <v>0</v>
      </c>
      <c r="L14" s="18" t="n">
        <v>0</v>
      </c>
      <c r="M14" s="18" t="n">
        <v>0</v>
      </c>
      <c r="N14" s="18" t="n">
        <v>0</v>
      </c>
      <c r="O14" s="18" t="n">
        <v>0</v>
      </c>
      <c r="P14" s="18" t="n">
        <v>0</v>
      </c>
      <c r="Q14" s="18" t="n">
        <v>0</v>
      </c>
      <c r="R14" s="18" t="n">
        <v>0</v>
      </c>
      <c r="S14" s="18" t="n">
        <v>0</v>
      </c>
      <c r="T14" s="18" t="n">
        <v>0</v>
      </c>
      <c r="U14" s="18" t="n">
        <v>0</v>
      </c>
      <c r="V14" s="18" t="n">
        <v>0</v>
      </c>
      <c r="W14" s="18" t="n">
        <v>0</v>
      </c>
      <c r="X14" s="18" t="n">
        <v>0</v>
      </c>
      <c r="Y14" s="18" t="n">
        <v>0</v>
      </c>
      <c r="Z14" s="18" t="n">
        <v>0</v>
      </c>
      <c r="AA14" s="18" t="n">
        <v>0</v>
      </c>
      <c r="AB14" s="18" t="n">
        <v>0</v>
      </c>
      <c r="AC14" s="18" t="n">
        <v>0</v>
      </c>
      <c r="AD14" s="18" t="n">
        <v>0</v>
      </c>
      <c r="AE14" s="18" t="n">
        <v>0</v>
      </c>
      <c r="AF14" s="18" t="n">
        <v>0</v>
      </c>
      <c r="AG14" s="18" t="n">
        <v>0</v>
      </c>
      <c r="AH14" s="18" t="n">
        <v>5000</v>
      </c>
      <c r="AI14" s="18" t="n">
        <v>0</v>
      </c>
      <c r="AJ14" s="18" t="n">
        <v>0</v>
      </c>
      <c r="AK14" s="18" t="n">
        <v>0</v>
      </c>
    </row>
    <row r="15">
      <c r="A15" s="23" t="inlineStr">
        <is>
          <t xml:space="preserve">  Total engagement</t>
        </is>
      </c>
      <c r="B15" s="21">
        <f>SUM(B5:B14)</f>
        <v/>
      </c>
      <c r="C15" s="21">
        <f>SUM(C5:C14)</f>
        <v/>
      </c>
      <c r="D15" s="21">
        <f>SUM(D5:D14)</f>
        <v/>
      </c>
      <c r="E15" s="21">
        <f>SUM(E5:E14)</f>
        <v/>
      </c>
      <c r="F15" s="21">
        <f>SUM(F5:F14)</f>
        <v/>
      </c>
      <c r="G15" s="21">
        <f>SUM(G5:G14)</f>
        <v/>
      </c>
      <c r="H15" s="21">
        <f>SUM(H5:H14)</f>
        <v/>
      </c>
      <c r="I15" s="21">
        <f>SUM(I5:I14)</f>
        <v/>
      </c>
      <c r="J15" s="21">
        <f>SUM(J5:J14)</f>
        <v/>
      </c>
      <c r="K15" s="21">
        <f>SUM(K5:K14)</f>
        <v/>
      </c>
      <c r="L15" s="21">
        <f>SUM(L5:L14)</f>
        <v/>
      </c>
      <c r="M15" s="21">
        <f>SUM(M5:M14)</f>
        <v/>
      </c>
      <c r="N15" s="21">
        <f>SUM(N5:N14)</f>
        <v/>
      </c>
      <c r="O15" s="21">
        <f>SUM(O5:O14)</f>
        <v/>
      </c>
      <c r="P15" s="21">
        <f>SUM(P5:P14)</f>
        <v/>
      </c>
      <c r="Q15" s="21">
        <f>SUM(Q5:Q14)</f>
        <v/>
      </c>
      <c r="R15" s="21">
        <f>SUM(R5:R14)</f>
        <v/>
      </c>
      <c r="S15" s="21">
        <f>SUM(S5:S14)</f>
        <v/>
      </c>
      <c r="T15" s="21">
        <f>SUM(T5:T14)</f>
        <v/>
      </c>
      <c r="U15" s="21">
        <f>SUM(U5:U14)</f>
        <v/>
      </c>
      <c r="V15" s="21">
        <f>SUM(V5:V14)</f>
        <v/>
      </c>
      <c r="W15" s="21">
        <f>SUM(W5:W14)</f>
        <v/>
      </c>
      <c r="X15" s="21">
        <f>SUM(X5:X14)</f>
        <v/>
      </c>
      <c r="Y15" s="21">
        <f>SUM(Y5:Y14)</f>
        <v/>
      </c>
      <c r="Z15" s="21">
        <f>SUM(Z5:Z14)</f>
        <v/>
      </c>
      <c r="AA15" s="21">
        <f>SUM(AA5:AA14)</f>
        <v/>
      </c>
      <c r="AB15" s="21">
        <f>SUM(AB5:AB14)</f>
        <v/>
      </c>
      <c r="AC15" s="21">
        <f>SUM(AC5:AC14)</f>
        <v/>
      </c>
      <c r="AD15" s="21">
        <f>SUM(AD5:AD14)</f>
        <v/>
      </c>
      <c r="AE15" s="21">
        <f>SUM(AE5:AE14)</f>
        <v/>
      </c>
      <c r="AF15" s="21">
        <f>SUM(AF5:AF14)</f>
        <v/>
      </c>
      <c r="AG15" s="21">
        <f>SUM(AG5:AG14)</f>
        <v/>
      </c>
      <c r="AH15" s="21">
        <f>SUM(AH5:AH14)</f>
        <v/>
      </c>
      <c r="AI15" s="21">
        <f>SUM(AI5:AI14)</f>
        <v/>
      </c>
      <c r="AJ15" s="21">
        <f>SUM(AJ5:AJ14)</f>
        <v/>
      </c>
      <c r="AK15" s="21">
        <f>SUM(AK5:AK14)</f>
        <v/>
      </c>
    </row>
    <row r="17">
      <c r="A17" s="20" t="inlineStr">
        <is>
          <t>RETAINER</t>
        </is>
      </c>
    </row>
    <row r="18">
      <c r="A18" s="10" t="inlineStr">
        <is>
          <t>Pilot — Harare house</t>
        </is>
      </c>
      <c r="B18" s="18" t="n">
        <v>0</v>
      </c>
      <c r="C18" s="18" t="n">
        <v>0</v>
      </c>
      <c r="D18" s="18" t="n">
        <v>1200</v>
      </c>
      <c r="E18" s="18" t="n">
        <v>1200</v>
      </c>
      <c r="F18" s="18" t="n">
        <v>1200</v>
      </c>
      <c r="G18" s="18" t="n">
        <v>1200</v>
      </c>
      <c r="H18" s="18" t="n">
        <v>1200</v>
      </c>
      <c r="I18" s="18" t="n">
        <v>1200</v>
      </c>
      <c r="J18" s="18" t="n">
        <v>1200</v>
      </c>
      <c r="K18" s="18" t="n">
        <v>1200</v>
      </c>
      <c r="L18" s="18" t="n">
        <v>1200</v>
      </c>
      <c r="M18" s="18" t="n">
        <v>1200</v>
      </c>
      <c r="N18" s="18" t="n">
        <v>1200</v>
      </c>
      <c r="O18" s="18" t="n">
        <v>1200</v>
      </c>
      <c r="P18" s="18" t="n">
        <v>1200</v>
      </c>
      <c r="Q18" s="18" t="n">
        <v>1200</v>
      </c>
      <c r="R18" s="18" t="n">
        <v>1200</v>
      </c>
      <c r="S18" s="18" t="n">
        <v>1200</v>
      </c>
      <c r="T18" s="18" t="n">
        <v>1200</v>
      </c>
      <c r="U18" s="18" t="n">
        <v>1200</v>
      </c>
      <c r="V18" s="18" t="n">
        <v>1200</v>
      </c>
      <c r="W18" s="18" t="n">
        <v>1200</v>
      </c>
      <c r="X18" s="18" t="n">
        <v>1200</v>
      </c>
      <c r="Y18" s="18" t="n">
        <v>1200</v>
      </c>
      <c r="Z18" s="18" t="n">
        <v>1200</v>
      </c>
      <c r="AA18" s="18" t="n">
        <v>1200</v>
      </c>
      <c r="AB18" s="18" t="n">
        <v>1200</v>
      </c>
      <c r="AC18" s="18" t="n">
        <v>1200</v>
      </c>
      <c r="AD18" s="18" t="n">
        <v>1200</v>
      </c>
      <c r="AE18" s="18" t="n">
        <v>1200</v>
      </c>
      <c r="AF18" s="18" t="n">
        <v>1200</v>
      </c>
      <c r="AG18" s="18" t="n">
        <v>1200</v>
      </c>
      <c r="AH18" s="18" t="n">
        <v>1200</v>
      </c>
      <c r="AI18" s="18" t="n">
        <v>1200</v>
      </c>
      <c r="AJ18" s="18" t="n">
        <v>1200</v>
      </c>
      <c r="AK18" s="18" t="n">
        <v>1200</v>
      </c>
    </row>
    <row r="19">
      <c r="A19" s="10" t="inlineStr">
        <is>
          <t>Tier B Bulawayo</t>
        </is>
      </c>
      <c r="B19" s="18" t="n">
        <v>0</v>
      </c>
      <c r="C19" s="18" t="n">
        <v>0</v>
      </c>
      <c r="D19" s="18" t="n">
        <v>0</v>
      </c>
      <c r="E19" s="18" t="n">
        <v>0</v>
      </c>
      <c r="F19" s="18" t="n">
        <v>0</v>
      </c>
      <c r="G19" s="18" t="n">
        <v>0</v>
      </c>
      <c r="H19" s="18" t="n">
        <v>0</v>
      </c>
      <c r="I19" s="18" t="n">
        <v>1500</v>
      </c>
      <c r="J19" s="18" t="n">
        <v>1500</v>
      </c>
      <c r="K19" s="18" t="n">
        <v>1500</v>
      </c>
      <c r="L19" s="18" t="n">
        <v>1500</v>
      </c>
      <c r="M19" s="18" t="n">
        <v>1500</v>
      </c>
      <c r="N19" s="18" t="n">
        <v>1500</v>
      </c>
      <c r="O19" s="18" t="n">
        <v>1500</v>
      </c>
      <c r="P19" s="18" t="n">
        <v>1500</v>
      </c>
      <c r="Q19" s="18" t="n">
        <v>1500</v>
      </c>
      <c r="R19" s="18" t="n">
        <v>1500</v>
      </c>
      <c r="S19" s="18" t="n">
        <v>1500</v>
      </c>
      <c r="T19" s="18" t="n">
        <v>1500</v>
      </c>
      <c r="U19" s="18" t="n">
        <v>1500</v>
      </c>
      <c r="V19" s="18" t="n">
        <v>1500</v>
      </c>
      <c r="W19" s="18" t="n">
        <v>1500</v>
      </c>
      <c r="X19" s="18" t="n">
        <v>1500</v>
      </c>
      <c r="Y19" s="18" t="n">
        <v>1500</v>
      </c>
      <c r="Z19" s="18" t="n">
        <v>1500</v>
      </c>
      <c r="AA19" s="18" t="n">
        <v>1500</v>
      </c>
      <c r="AB19" s="18" t="n">
        <v>1500</v>
      </c>
      <c r="AC19" s="18" t="n">
        <v>1500</v>
      </c>
      <c r="AD19" s="18" t="n">
        <v>1500</v>
      </c>
      <c r="AE19" s="18" t="n">
        <v>1500</v>
      </c>
      <c r="AF19" s="18" t="n">
        <v>1500</v>
      </c>
      <c r="AG19" s="18" t="n">
        <v>1500</v>
      </c>
      <c r="AH19" s="18" t="n">
        <v>1500</v>
      </c>
      <c r="AI19" s="18" t="n">
        <v>1500</v>
      </c>
      <c r="AJ19" s="18" t="n">
        <v>1500</v>
      </c>
      <c r="AK19" s="18" t="n">
        <v>1500</v>
      </c>
    </row>
    <row r="20">
      <c r="A20" s="10" t="inlineStr">
        <is>
          <t>Tier A Gweru</t>
        </is>
      </c>
      <c r="B20" s="18" t="n">
        <v>0</v>
      </c>
      <c r="C20" s="18" t="n">
        <v>0</v>
      </c>
      <c r="D20" s="18" t="n">
        <v>0</v>
      </c>
      <c r="E20" s="18" t="n">
        <v>0</v>
      </c>
      <c r="F20" s="18" t="n">
        <v>0</v>
      </c>
      <c r="G20" s="18" t="n">
        <v>0</v>
      </c>
      <c r="H20" s="18" t="n">
        <v>0</v>
      </c>
      <c r="I20" s="18" t="n">
        <v>0</v>
      </c>
      <c r="J20" s="18" t="n">
        <v>0</v>
      </c>
      <c r="K20" s="18" t="n">
        <v>0</v>
      </c>
      <c r="L20" s="18" t="n">
        <v>0</v>
      </c>
      <c r="M20" s="18" t="n">
        <v>2250</v>
      </c>
      <c r="N20" s="18" t="n">
        <v>2250</v>
      </c>
      <c r="O20" s="18" t="n">
        <v>2250</v>
      </c>
      <c r="P20" s="18" t="n">
        <v>2250</v>
      </c>
      <c r="Q20" s="18" t="n">
        <v>2250</v>
      </c>
      <c r="R20" s="18" t="n">
        <v>2250</v>
      </c>
      <c r="S20" s="18" t="n">
        <v>2250</v>
      </c>
      <c r="T20" s="18" t="n">
        <v>2250</v>
      </c>
      <c r="U20" s="18" t="n">
        <v>2250</v>
      </c>
      <c r="V20" s="18" t="n">
        <v>2250</v>
      </c>
      <c r="W20" s="18" t="n">
        <v>2250</v>
      </c>
      <c r="X20" s="18" t="n">
        <v>2250</v>
      </c>
      <c r="Y20" s="18" t="n">
        <v>2250</v>
      </c>
      <c r="Z20" s="18" t="n">
        <v>2250</v>
      </c>
      <c r="AA20" s="18" t="n">
        <v>2250</v>
      </c>
      <c r="AB20" s="18" t="n">
        <v>2250</v>
      </c>
      <c r="AC20" s="18" t="n">
        <v>2250</v>
      </c>
      <c r="AD20" s="18" t="n">
        <v>2250</v>
      </c>
      <c r="AE20" s="18" t="n">
        <v>2250</v>
      </c>
      <c r="AF20" s="18" t="n">
        <v>2250</v>
      </c>
      <c r="AG20" s="18" t="n">
        <v>2250</v>
      </c>
      <c r="AH20" s="18" t="n">
        <v>2250</v>
      </c>
      <c r="AI20" s="18" t="n">
        <v>2250</v>
      </c>
      <c r="AJ20" s="18" t="n">
        <v>2250</v>
      </c>
      <c r="AK20" s="18" t="n">
        <v>2250</v>
      </c>
    </row>
    <row r="21">
      <c r="A21" s="10" t="inlineStr">
        <is>
          <t>Tier B Mutare</t>
        </is>
      </c>
      <c r="B21" s="18" t="n">
        <v>0</v>
      </c>
      <c r="C21" s="18" t="n">
        <v>0</v>
      </c>
      <c r="D21" s="18" t="n">
        <v>0</v>
      </c>
      <c r="E21" s="18" t="n">
        <v>0</v>
      </c>
      <c r="F21" s="18" t="n">
        <v>0</v>
      </c>
      <c r="G21" s="18" t="n">
        <v>0</v>
      </c>
      <c r="H21" s="18" t="n">
        <v>0</v>
      </c>
      <c r="I21" s="18" t="n">
        <v>0</v>
      </c>
      <c r="J21" s="18" t="n">
        <v>0</v>
      </c>
      <c r="K21" s="18" t="n">
        <v>0</v>
      </c>
      <c r="L21" s="18" t="n">
        <v>0</v>
      </c>
      <c r="M21" s="18" t="n">
        <v>0</v>
      </c>
      <c r="N21" s="18" t="n">
        <v>0</v>
      </c>
      <c r="O21" s="18" t="n">
        <v>0</v>
      </c>
      <c r="P21" s="18" t="n">
        <v>1500</v>
      </c>
      <c r="Q21" s="18" t="n">
        <v>1500</v>
      </c>
      <c r="R21" s="18" t="n">
        <v>1500</v>
      </c>
      <c r="S21" s="18" t="n">
        <v>1500</v>
      </c>
      <c r="T21" s="18" t="n">
        <v>1500</v>
      </c>
      <c r="U21" s="18" t="n">
        <v>1500</v>
      </c>
      <c r="V21" s="18" t="n">
        <v>1500</v>
      </c>
      <c r="W21" s="18" t="n">
        <v>1500</v>
      </c>
      <c r="X21" s="18" t="n">
        <v>1500</v>
      </c>
      <c r="Y21" s="18" t="n">
        <v>1500</v>
      </c>
      <c r="Z21" s="18" t="n">
        <v>1500</v>
      </c>
      <c r="AA21" s="18" t="n">
        <v>1500</v>
      </c>
      <c r="AB21" s="18" t="n">
        <v>1500</v>
      </c>
      <c r="AC21" s="18" t="n">
        <v>1500</v>
      </c>
      <c r="AD21" s="18" t="n">
        <v>1500</v>
      </c>
      <c r="AE21" s="18" t="n">
        <v>1500</v>
      </c>
      <c r="AF21" s="18" t="n">
        <v>1500</v>
      </c>
      <c r="AG21" s="18" t="n">
        <v>1500</v>
      </c>
      <c r="AH21" s="18" t="n">
        <v>1500</v>
      </c>
      <c r="AI21" s="18" t="n">
        <v>1500</v>
      </c>
      <c r="AJ21" s="18" t="n">
        <v>1500</v>
      </c>
      <c r="AK21" s="18" t="n">
        <v>1500</v>
      </c>
    </row>
    <row r="22">
      <c r="A22" s="10" t="inlineStr">
        <is>
          <t>Tier B Masvingo</t>
        </is>
      </c>
      <c r="B22" s="18" t="n">
        <v>0</v>
      </c>
      <c r="C22" s="18" t="n">
        <v>0</v>
      </c>
      <c r="D22" s="18" t="n">
        <v>0</v>
      </c>
      <c r="E22" s="18" t="n">
        <v>0</v>
      </c>
      <c r="F22" s="18" t="n">
        <v>0</v>
      </c>
      <c r="G22" s="18" t="n">
        <v>0</v>
      </c>
      <c r="H22" s="18" t="n">
        <v>0</v>
      </c>
      <c r="I22" s="18" t="n">
        <v>0</v>
      </c>
      <c r="J22" s="18" t="n">
        <v>0</v>
      </c>
      <c r="K22" s="18" t="n">
        <v>0</v>
      </c>
      <c r="L22" s="18" t="n">
        <v>0</v>
      </c>
      <c r="M22" s="18" t="n">
        <v>0</v>
      </c>
      <c r="N22" s="18" t="n">
        <v>0</v>
      </c>
      <c r="O22" s="18" t="n">
        <v>0</v>
      </c>
      <c r="P22" s="18" t="n">
        <v>0</v>
      </c>
      <c r="Q22" s="18" t="n">
        <v>0</v>
      </c>
      <c r="R22" s="18" t="n">
        <v>0</v>
      </c>
      <c r="S22" s="18" t="n">
        <v>1500</v>
      </c>
      <c r="T22" s="18" t="n">
        <v>1500</v>
      </c>
      <c r="U22" s="18" t="n">
        <v>1500</v>
      </c>
      <c r="V22" s="18" t="n">
        <v>1500</v>
      </c>
      <c r="W22" s="18" t="n">
        <v>1500</v>
      </c>
      <c r="X22" s="18" t="n">
        <v>1500</v>
      </c>
      <c r="Y22" s="18" t="n">
        <v>1500</v>
      </c>
      <c r="Z22" s="18" t="n">
        <v>1500</v>
      </c>
      <c r="AA22" s="18" t="n">
        <v>1500</v>
      </c>
      <c r="AB22" s="18" t="n">
        <v>1500</v>
      </c>
      <c r="AC22" s="18" t="n">
        <v>1500</v>
      </c>
      <c r="AD22" s="18" t="n">
        <v>1500</v>
      </c>
      <c r="AE22" s="18" t="n">
        <v>1500</v>
      </c>
      <c r="AF22" s="18" t="n">
        <v>1500</v>
      </c>
      <c r="AG22" s="18" t="n">
        <v>1500</v>
      </c>
      <c r="AH22" s="18" t="n">
        <v>1500</v>
      </c>
      <c r="AI22" s="18" t="n">
        <v>1500</v>
      </c>
      <c r="AJ22" s="18" t="n">
        <v>1500</v>
      </c>
      <c r="AK22" s="18" t="n">
        <v>1500</v>
      </c>
    </row>
    <row r="23">
      <c r="A23" s="10" t="inlineStr">
        <is>
          <t>Tier A Harare #2</t>
        </is>
      </c>
      <c r="B23" s="18" t="n">
        <v>0</v>
      </c>
      <c r="C23" s="18" t="n">
        <v>0</v>
      </c>
      <c r="D23" s="18" t="n">
        <v>0</v>
      </c>
      <c r="E23" s="18" t="n">
        <v>0</v>
      </c>
      <c r="F23" s="18" t="n">
        <v>0</v>
      </c>
      <c r="G23" s="18" t="n">
        <v>0</v>
      </c>
      <c r="H23" s="18" t="n">
        <v>0</v>
      </c>
      <c r="I23" s="18" t="n">
        <v>0</v>
      </c>
      <c r="J23" s="18" t="n">
        <v>0</v>
      </c>
      <c r="K23" s="18" t="n">
        <v>0</v>
      </c>
      <c r="L23" s="18" t="n">
        <v>0</v>
      </c>
      <c r="M23" s="18" t="n">
        <v>0</v>
      </c>
      <c r="N23" s="18" t="n">
        <v>0</v>
      </c>
      <c r="O23" s="18" t="n">
        <v>0</v>
      </c>
      <c r="P23" s="18" t="n">
        <v>0</v>
      </c>
      <c r="Q23" s="18" t="n">
        <v>0</v>
      </c>
      <c r="R23" s="18" t="n">
        <v>0</v>
      </c>
      <c r="S23" s="18" t="n">
        <v>0</v>
      </c>
      <c r="T23" s="18" t="n">
        <v>0</v>
      </c>
      <c r="U23" s="18" t="n">
        <v>0</v>
      </c>
      <c r="V23" s="18" t="n">
        <v>2250</v>
      </c>
      <c r="W23" s="18" t="n">
        <v>2250</v>
      </c>
      <c r="X23" s="18" t="n">
        <v>2250</v>
      </c>
      <c r="Y23" s="18" t="n">
        <v>2250</v>
      </c>
      <c r="Z23" s="18" t="n">
        <v>2250</v>
      </c>
      <c r="AA23" s="18" t="n">
        <v>2250</v>
      </c>
      <c r="AB23" s="18" t="n">
        <v>2250</v>
      </c>
      <c r="AC23" s="18" t="n">
        <v>2250</v>
      </c>
      <c r="AD23" s="18" t="n">
        <v>2250</v>
      </c>
      <c r="AE23" s="18" t="n">
        <v>2250</v>
      </c>
      <c r="AF23" s="18" t="n">
        <v>2250</v>
      </c>
      <c r="AG23" s="18" t="n">
        <v>2250</v>
      </c>
      <c r="AH23" s="18" t="n">
        <v>2250</v>
      </c>
      <c r="AI23" s="18" t="n">
        <v>2250</v>
      </c>
      <c r="AJ23" s="18" t="n">
        <v>2250</v>
      </c>
      <c r="AK23" s="18" t="n">
        <v>2250</v>
      </c>
    </row>
    <row r="24">
      <c r="A24" s="10" t="inlineStr">
        <is>
          <t>Tier C Chinhoyi</t>
        </is>
      </c>
      <c r="B24" s="18" t="n">
        <v>0</v>
      </c>
      <c r="C24" s="18" t="n">
        <v>0</v>
      </c>
      <c r="D24" s="18" t="n">
        <v>0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1200</v>
      </c>
      <c r="Z24" s="18" t="n">
        <v>1200</v>
      </c>
      <c r="AA24" s="18" t="n">
        <v>1200</v>
      </c>
      <c r="AB24" s="18" t="n">
        <v>1200</v>
      </c>
      <c r="AC24" s="18" t="n">
        <v>1200</v>
      </c>
      <c r="AD24" s="18" t="n">
        <v>1200</v>
      </c>
      <c r="AE24" s="18" t="n">
        <v>1200</v>
      </c>
      <c r="AF24" s="18" t="n">
        <v>1200</v>
      </c>
      <c r="AG24" s="18" t="n">
        <v>1200</v>
      </c>
      <c r="AH24" s="18" t="n">
        <v>1200</v>
      </c>
      <c r="AI24" s="18" t="n">
        <v>1200</v>
      </c>
      <c r="AJ24" s="18" t="n">
        <v>1200</v>
      </c>
      <c r="AK24" s="18" t="n">
        <v>1200</v>
      </c>
    </row>
    <row r="25">
      <c r="A25" s="10" t="inlineStr">
        <is>
          <t>Tier B Kwekwe</t>
        </is>
      </c>
      <c r="B25" s="18" t="n">
        <v>0</v>
      </c>
      <c r="C25" s="18" t="n">
        <v>0</v>
      </c>
      <c r="D25" s="18" t="n">
        <v>0</v>
      </c>
      <c r="E25" s="18" t="n">
        <v>0</v>
      </c>
      <c r="F25" s="18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18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18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18" t="n">
        <v>0</v>
      </c>
      <c r="V25" s="18" t="n">
        <v>0</v>
      </c>
      <c r="W25" s="18" t="n">
        <v>0</v>
      </c>
      <c r="X25" s="18" t="n">
        <v>0</v>
      </c>
      <c r="Y25" s="18" t="n">
        <v>0</v>
      </c>
      <c r="Z25" s="18" t="n">
        <v>0</v>
      </c>
      <c r="AA25" s="18" t="n">
        <v>0</v>
      </c>
      <c r="AB25" s="18" t="n">
        <v>1500</v>
      </c>
      <c r="AC25" s="18" t="n">
        <v>1500</v>
      </c>
      <c r="AD25" s="18" t="n">
        <v>1500</v>
      </c>
      <c r="AE25" s="18" t="n">
        <v>1500</v>
      </c>
      <c r="AF25" s="18" t="n">
        <v>1500</v>
      </c>
      <c r="AG25" s="18" t="n">
        <v>1500</v>
      </c>
      <c r="AH25" s="18" t="n">
        <v>1500</v>
      </c>
      <c r="AI25" s="18" t="n">
        <v>1500</v>
      </c>
      <c r="AJ25" s="18" t="n">
        <v>1500</v>
      </c>
      <c r="AK25" s="18" t="n">
        <v>1500</v>
      </c>
    </row>
    <row r="26">
      <c r="A26" s="10" t="inlineStr">
        <is>
          <t>Tier A Bulawayo #2</t>
        </is>
      </c>
      <c r="B26" s="18" t="n">
        <v>0</v>
      </c>
      <c r="C26" s="18" t="n">
        <v>0</v>
      </c>
      <c r="D26" s="18" t="n">
        <v>0</v>
      </c>
      <c r="E26" s="18" t="n">
        <v>0</v>
      </c>
      <c r="F26" s="18" t="n">
        <v>0</v>
      </c>
      <c r="G26" s="18" t="n">
        <v>0</v>
      </c>
      <c r="H26" s="18" t="n">
        <v>0</v>
      </c>
      <c r="I26" s="18" t="n">
        <v>0</v>
      </c>
      <c r="J26" s="18" t="n">
        <v>0</v>
      </c>
      <c r="K26" s="18" t="n">
        <v>0</v>
      </c>
      <c r="L26" s="18" t="n">
        <v>0</v>
      </c>
      <c r="M26" s="18" t="n">
        <v>0</v>
      </c>
      <c r="N26" s="18" t="n">
        <v>0</v>
      </c>
      <c r="O26" s="18" t="n">
        <v>0</v>
      </c>
      <c r="P26" s="18" t="n">
        <v>0</v>
      </c>
      <c r="Q26" s="18" t="n">
        <v>0</v>
      </c>
      <c r="R26" s="18" t="n">
        <v>0</v>
      </c>
      <c r="S26" s="18" t="n">
        <v>0</v>
      </c>
      <c r="T26" s="18" t="n">
        <v>0</v>
      </c>
      <c r="U26" s="18" t="n">
        <v>0</v>
      </c>
      <c r="V26" s="18" t="n">
        <v>0</v>
      </c>
      <c r="W26" s="18" t="n">
        <v>0</v>
      </c>
      <c r="X26" s="18" t="n">
        <v>0</v>
      </c>
      <c r="Y26" s="18" t="n">
        <v>0</v>
      </c>
      <c r="Z26" s="18" t="n">
        <v>0</v>
      </c>
      <c r="AA26" s="18" t="n">
        <v>0</v>
      </c>
      <c r="AB26" s="18" t="n">
        <v>0</v>
      </c>
      <c r="AC26" s="18" t="n">
        <v>0</v>
      </c>
      <c r="AD26" s="18" t="n">
        <v>0</v>
      </c>
      <c r="AE26" s="18" t="n">
        <v>2250</v>
      </c>
      <c r="AF26" s="18" t="n">
        <v>2250</v>
      </c>
      <c r="AG26" s="18" t="n">
        <v>2250</v>
      </c>
      <c r="AH26" s="18" t="n">
        <v>2250</v>
      </c>
      <c r="AI26" s="18" t="n">
        <v>2250</v>
      </c>
      <c r="AJ26" s="18" t="n">
        <v>2250</v>
      </c>
      <c r="AK26" s="18" t="n">
        <v>2250</v>
      </c>
    </row>
    <row r="27">
      <c r="A27" s="10" t="inlineStr">
        <is>
          <t>Tier C Beitbridge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0</v>
      </c>
      <c r="G27" s="18" t="n">
        <v>0</v>
      </c>
      <c r="H27" s="18" t="n">
        <v>0</v>
      </c>
      <c r="I27" s="18" t="n">
        <v>0</v>
      </c>
      <c r="J27" s="18" t="n">
        <v>0</v>
      </c>
      <c r="K27" s="18" t="n">
        <v>0</v>
      </c>
      <c r="L27" s="18" t="n">
        <v>0</v>
      </c>
      <c r="M27" s="18" t="n">
        <v>0</v>
      </c>
      <c r="N27" s="18" t="n">
        <v>0</v>
      </c>
      <c r="O27" s="18" t="n">
        <v>0</v>
      </c>
      <c r="P27" s="18" t="n">
        <v>0</v>
      </c>
      <c r="Q27" s="18" t="n">
        <v>0</v>
      </c>
      <c r="R27" s="18" t="n">
        <v>0</v>
      </c>
      <c r="S27" s="18" t="n">
        <v>0</v>
      </c>
      <c r="T27" s="18" t="n">
        <v>0</v>
      </c>
      <c r="U27" s="18" t="n">
        <v>0</v>
      </c>
      <c r="V27" s="18" t="n">
        <v>0</v>
      </c>
      <c r="W27" s="18" t="n">
        <v>0</v>
      </c>
      <c r="X27" s="18" t="n">
        <v>0</v>
      </c>
      <c r="Y27" s="18" t="n">
        <v>0</v>
      </c>
      <c r="Z27" s="18" t="n">
        <v>0</v>
      </c>
      <c r="AA27" s="18" t="n">
        <v>0</v>
      </c>
      <c r="AB27" s="18" t="n">
        <v>0</v>
      </c>
      <c r="AC27" s="18" t="n">
        <v>0</v>
      </c>
      <c r="AD27" s="18" t="n">
        <v>0</v>
      </c>
      <c r="AE27" s="18" t="n">
        <v>0</v>
      </c>
      <c r="AF27" s="18" t="n">
        <v>0</v>
      </c>
      <c r="AG27" s="18" t="n">
        <v>0</v>
      </c>
      <c r="AH27" s="18" t="n">
        <v>1200</v>
      </c>
      <c r="AI27" s="18" t="n">
        <v>1200</v>
      </c>
      <c r="AJ27" s="18" t="n">
        <v>1200</v>
      </c>
      <c r="AK27" s="18" t="n">
        <v>1200</v>
      </c>
    </row>
    <row r="28">
      <c r="A28" s="23" t="inlineStr">
        <is>
          <t xml:space="preserve">  Total retainer</t>
        </is>
      </c>
      <c r="B28" s="21">
        <f>SUM(B18:B27)</f>
        <v/>
      </c>
      <c r="C28" s="21">
        <f>SUM(C18:C27)</f>
        <v/>
      </c>
      <c r="D28" s="21">
        <f>SUM(D18:D27)</f>
        <v/>
      </c>
      <c r="E28" s="21">
        <f>SUM(E18:E27)</f>
        <v/>
      </c>
      <c r="F28" s="21">
        <f>SUM(F18:F27)</f>
        <v/>
      </c>
      <c r="G28" s="21">
        <f>SUM(G18:G27)</f>
        <v/>
      </c>
      <c r="H28" s="21">
        <f>SUM(H18:H27)</f>
        <v/>
      </c>
      <c r="I28" s="21">
        <f>SUM(I18:I27)</f>
        <v/>
      </c>
      <c r="J28" s="21">
        <f>SUM(J18:J27)</f>
        <v/>
      </c>
      <c r="K28" s="21">
        <f>SUM(K18:K27)</f>
        <v/>
      </c>
      <c r="L28" s="21">
        <f>SUM(L18:L27)</f>
        <v/>
      </c>
      <c r="M28" s="21">
        <f>SUM(M18:M27)</f>
        <v/>
      </c>
      <c r="N28" s="21">
        <f>SUM(N18:N27)</f>
        <v/>
      </c>
      <c r="O28" s="21">
        <f>SUM(O18:O27)</f>
        <v/>
      </c>
      <c r="P28" s="21">
        <f>SUM(P18:P27)</f>
        <v/>
      </c>
      <c r="Q28" s="21">
        <f>SUM(Q18:Q27)</f>
        <v/>
      </c>
      <c r="R28" s="21">
        <f>SUM(R18:R27)</f>
        <v/>
      </c>
      <c r="S28" s="21">
        <f>SUM(S18:S27)</f>
        <v/>
      </c>
      <c r="T28" s="21">
        <f>SUM(T18:T27)</f>
        <v/>
      </c>
      <c r="U28" s="21">
        <f>SUM(U18:U27)</f>
        <v/>
      </c>
      <c r="V28" s="21">
        <f>SUM(V18:V27)</f>
        <v/>
      </c>
      <c r="W28" s="21">
        <f>SUM(W18:W27)</f>
        <v/>
      </c>
      <c r="X28" s="21">
        <f>SUM(X18:X27)</f>
        <v/>
      </c>
      <c r="Y28" s="21">
        <f>SUM(Y18:Y27)</f>
        <v/>
      </c>
      <c r="Z28" s="21">
        <f>SUM(Z18:Z27)</f>
        <v/>
      </c>
      <c r="AA28" s="21">
        <f>SUM(AA18:AA27)</f>
        <v/>
      </c>
      <c r="AB28" s="21">
        <f>SUM(AB18:AB27)</f>
        <v/>
      </c>
      <c r="AC28" s="21">
        <f>SUM(AC18:AC27)</f>
        <v/>
      </c>
      <c r="AD28" s="21">
        <f>SUM(AD18:AD27)</f>
        <v/>
      </c>
      <c r="AE28" s="21">
        <f>SUM(AE18:AE27)</f>
        <v/>
      </c>
      <c r="AF28" s="21">
        <f>SUM(AF18:AF27)</f>
        <v/>
      </c>
      <c r="AG28" s="21">
        <f>SUM(AG18:AG27)</f>
        <v/>
      </c>
      <c r="AH28" s="21">
        <f>SUM(AH18:AH27)</f>
        <v/>
      </c>
      <c r="AI28" s="21">
        <f>SUM(AI18:AI27)</f>
        <v/>
      </c>
      <c r="AJ28" s="21">
        <f>SUM(AJ18:AJ27)</f>
        <v/>
      </c>
      <c r="AK28" s="21">
        <f>SUM(AK18:AK27)</f>
        <v/>
      </c>
    </row>
    <row r="30">
      <c r="A30" s="20" t="inlineStr">
        <is>
          <t>TX SURCHARGE</t>
        </is>
      </c>
    </row>
    <row r="31">
      <c r="A31" s="10" t="inlineStr">
        <is>
          <t>Pilot — Harare house</t>
        </is>
      </c>
      <c r="B31" s="18" t="n">
        <v>0</v>
      </c>
      <c r="C31" s="18" t="n">
        <v>0</v>
      </c>
      <c r="D31" s="18" t="n">
        <v>540</v>
      </c>
      <c r="E31" s="18" t="n">
        <v>540</v>
      </c>
      <c r="F31" s="18" t="n">
        <v>540</v>
      </c>
      <c r="G31" s="18" t="n">
        <v>1440</v>
      </c>
      <c r="H31" s="18" t="n">
        <v>1440</v>
      </c>
      <c r="I31" s="18" t="n">
        <v>1440</v>
      </c>
      <c r="J31" s="18" t="n">
        <v>1440</v>
      </c>
      <c r="K31" s="18" t="n">
        <v>1440</v>
      </c>
      <c r="L31" s="18" t="n">
        <v>1440</v>
      </c>
      <c r="M31" s="18" t="n">
        <v>2520</v>
      </c>
      <c r="N31" s="18" t="n">
        <v>2520</v>
      </c>
      <c r="O31" s="18" t="n">
        <v>2520</v>
      </c>
      <c r="P31" s="18" t="n">
        <v>2520</v>
      </c>
      <c r="Q31" s="18" t="n">
        <v>2520</v>
      </c>
      <c r="R31" s="18" t="n">
        <v>2520</v>
      </c>
      <c r="S31" s="18" t="n">
        <v>2520</v>
      </c>
      <c r="T31" s="18" t="n">
        <v>2520</v>
      </c>
      <c r="U31" s="18" t="n">
        <v>2520</v>
      </c>
      <c r="V31" s="18" t="n">
        <v>2520</v>
      </c>
      <c r="W31" s="18" t="n">
        <v>2520</v>
      </c>
      <c r="X31" s="18" t="n">
        <v>2520</v>
      </c>
      <c r="Y31" s="18" t="n">
        <v>2520</v>
      </c>
      <c r="Z31" s="18" t="n">
        <v>2520</v>
      </c>
      <c r="AA31" s="18" t="n">
        <v>2520</v>
      </c>
      <c r="AB31" s="18" t="n">
        <v>2520</v>
      </c>
      <c r="AC31" s="18" t="n">
        <v>2520</v>
      </c>
      <c r="AD31" s="18" t="n">
        <v>2520</v>
      </c>
      <c r="AE31" s="18" t="n">
        <v>2520</v>
      </c>
      <c r="AF31" s="18" t="n">
        <v>2520</v>
      </c>
      <c r="AG31" s="18" t="n">
        <v>2520</v>
      </c>
      <c r="AH31" s="18" t="n">
        <v>2520</v>
      </c>
      <c r="AI31" s="18" t="n">
        <v>2520</v>
      </c>
      <c r="AJ31" s="18" t="n">
        <v>2520</v>
      </c>
      <c r="AK31" s="18" t="n">
        <v>2520</v>
      </c>
    </row>
    <row r="32">
      <c r="A32" s="10" t="inlineStr">
        <is>
          <t>Tier B Bulawayo</t>
        </is>
      </c>
      <c r="B32" s="18" t="n">
        <v>0</v>
      </c>
      <c r="C32" s="18" t="n">
        <v>0</v>
      </c>
      <c r="D32" s="18" t="n">
        <v>0</v>
      </c>
      <c r="E32" s="18" t="n">
        <v>0</v>
      </c>
      <c r="F32" s="18" t="n">
        <v>0</v>
      </c>
      <c r="G32" s="18" t="n">
        <v>0</v>
      </c>
      <c r="H32" s="18" t="n">
        <v>0</v>
      </c>
      <c r="I32" s="18" t="n">
        <v>186</v>
      </c>
      <c r="J32" s="18" t="n">
        <v>186</v>
      </c>
      <c r="K32" s="18" t="n">
        <v>186</v>
      </c>
      <c r="L32" s="18" t="n">
        <v>495</v>
      </c>
      <c r="M32" s="18" t="n">
        <v>495</v>
      </c>
      <c r="N32" s="18" t="n">
        <v>495</v>
      </c>
      <c r="O32" s="18" t="n">
        <v>495</v>
      </c>
      <c r="P32" s="18" t="n">
        <v>495</v>
      </c>
      <c r="Q32" s="18" t="n">
        <v>495</v>
      </c>
      <c r="R32" s="18" t="n">
        <v>866</v>
      </c>
      <c r="S32" s="18" t="n">
        <v>866</v>
      </c>
      <c r="T32" s="18" t="n">
        <v>866</v>
      </c>
      <c r="U32" s="18" t="n">
        <v>866</v>
      </c>
      <c r="V32" s="18" t="n">
        <v>866</v>
      </c>
      <c r="W32" s="18" t="n">
        <v>866</v>
      </c>
      <c r="X32" s="18" t="n">
        <v>866</v>
      </c>
      <c r="Y32" s="18" t="n">
        <v>866</v>
      </c>
      <c r="Z32" s="18" t="n">
        <v>866</v>
      </c>
      <c r="AA32" s="18" t="n">
        <v>866</v>
      </c>
      <c r="AB32" s="18" t="n">
        <v>866</v>
      </c>
      <c r="AC32" s="18" t="n">
        <v>866</v>
      </c>
      <c r="AD32" s="18" t="n">
        <v>866</v>
      </c>
      <c r="AE32" s="18" t="n">
        <v>866</v>
      </c>
      <c r="AF32" s="18" t="n">
        <v>866</v>
      </c>
      <c r="AG32" s="18" t="n">
        <v>866</v>
      </c>
      <c r="AH32" s="18" t="n">
        <v>866</v>
      </c>
      <c r="AI32" s="18" t="n">
        <v>866</v>
      </c>
      <c r="AJ32" s="18" t="n">
        <v>866</v>
      </c>
      <c r="AK32" s="18" t="n">
        <v>866</v>
      </c>
    </row>
    <row r="33">
      <c r="A33" s="10" t="inlineStr">
        <is>
          <t>Tier A Gweru</t>
        </is>
      </c>
      <c r="B33" s="18" t="n">
        <v>0</v>
      </c>
      <c r="C33" s="18" t="n">
        <v>0</v>
      </c>
      <c r="D33" s="18" t="n">
        <v>0</v>
      </c>
      <c r="E33" s="18" t="n">
        <v>0</v>
      </c>
      <c r="F33" s="18" t="n">
        <v>0</v>
      </c>
      <c r="G33" s="18" t="n">
        <v>0</v>
      </c>
      <c r="H33" s="18" t="n">
        <v>0</v>
      </c>
      <c r="I33" s="18" t="n">
        <v>0</v>
      </c>
      <c r="J33" s="18" t="n">
        <v>0</v>
      </c>
      <c r="K33" s="18" t="n">
        <v>0</v>
      </c>
      <c r="L33" s="18" t="n">
        <v>0</v>
      </c>
      <c r="M33" s="18" t="n">
        <v>540</v>
      </c>
      <c r="N33" s="18" t="n">
        <v>540</v>
      </c>
      <c r="O33" s="18" t="n">
        <v>540</v>
      </c>
      <c r="P33" s="18" t="n">
        <v>1440</v>
      </c>
      <c r="Q33" s="18" t="n">
        <v>1440</v>
      </c>
      <c r="R33" s="18" t="n">
        <v>1440</v>
      </c>
      <c r="S33" s="18" t="n">
        <v>1440</v>
      </c>
      <c r="T33" s="18" t="n">
        <v>1440</v>
      </c>
      <c r="U33" s="18" t="n">
        <v>1440</v>
      </c>
      <c r="V33" s="18" t="n">
        <v>2520</v>
      </c>
      <c r="W33" s="18" t="n">
        <v>2520</v>
      </c>
      <c r="X33" s="18" t="n">
        <v>2520</v>
      </c>
      <c r="Y33" s="18" t="n">
        <v>2520</v>
      </c>
      <c r="Z33" s="18" t="n">
        <v>2520</v>
      </c>
      <c r="AA33" s="18" t="n">
        <v>2520</v>
      </c>
      <c r="AB33" s="18" t="n">
        <v>2520</v>
      </c>
      <c r="AC33" s="18" t="n">
        <v>2520</v>
      </c>
      <c r="AD33" s="18" t="n">
        <v>2520</v>
      </c>
      <c r="AE33" s="18" t="n">
        <v>2520</v>
      </c>
      <c r="AF33" s="18" t="n">
        <v>2520</v>
      </c>
      <c r="AG33" s="18" t="n">
        <v>2520</v>
      </c>
      <c r="AH33" s="18" t="n">
        <v>2520</v>
      </c>
      <c r="AI33" s="18" t="n">
        <v>2520</v>
      </c>
      <c r="AJ33" s="18" t="n">
        <v>2520</v>
      </c>
      <c r="AK33" s="18" t="n">
        <v>2520</v>
      </c>
    </row>
    <row r="34">
      <c r="A34" s="10" t="inlineStr">
        <is>
          <t>Tier B Mutare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  <c r="G34" s="18" t="n">
        <v>0</v>
      </c>
      <c r="H34" s="18" t="n">
        <v>0</v>
      </c>
      <c r="I34" s="18" t="n">
        <v>0</v>
      </c>
      <c r="J34" s="18" t="n">
        <v>0</v>
      </c>
      <c r="K34" s="18" t="n">
        <v>0</v>
      </c>
      <c r="L34" s="18" t="n">
        <v>0</v>
      </c>
      <c r="M34" s="18" t="n">
        <v>0</v>
      </c>
      <c r="N34" s="18" t="n">
        <v>0</v>
      </c>
      <c r="O34" s="18" t="n">
        <v>0</v>
      </c>
      <c r="P34" s="18" t="n">
        <v>186</v>
      </c>
      <c r="Q34" s="18" t="n">
        <v>186</v>
      </c>
      <c r="R34" s="18" t="n">
        <v>186</v>
      </c>
      <c r="S34" s="18" t="n">
        <v>495</v>
      </c>
      <c r="T34" s="18" t="n">
        <v>495</v>
      </c>
      <c r="U34" s="18" t="n">
        <v>495</v>
      </c>
      <c r="V34" s="18" t="n">
        <v>495</v>
      </c>
      <c r="W34" s="18" t="n">
        <v>495</v>
      </c>
      <c r="X34" s="18" t="n">
        <v>495</v>
      </c>
      <c r="Y34" s="18" t="n">
        <v>866</v>
      </c>
      <c r="Z34" s="18" t="n">
        <v>866</v>
      </c>
      <c r="AA34" s="18" t="n">
        <v>866</v>
      </c>
      <c r="AB34" s="18" t="n">
        <v>866</v>
      </c>
      <c r="AC34" s="18" t="n">
        <v>866</v>
      </c>
      <c r="AD34" s="18" t="n">
        <v>866</v>
      </c>
      <c r="AE34" s="18" t="n">
        <v>866</v>
      </c>
      <c r="AF34" s="18" t="n">
        <v>866</v>
      </c>
      <c r="AG34" s="18" t="n">
        <v>866</v>
      </c>
      <c r="AH34" s="18" t="n">
        <v>866</v>
      </c>
      <c r="AI34" s="18" t="n">
        <v>866</v>
      </c>
      <c r="AJ34" s="18" t="n">
        <v>866</v>
      </c>
      <c r="AK34" s="18" t="n">
        <v>866</v>
      </c>
    </row>
    <row r="35">
      <c r="A35" s="10" t="inlineStr">
        <is>
          <t>Tier B Masvingo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18" t="n">
        <v>0</v>
      </c>
      <c r="L35" s="18" t="n">
        <v>0</v>
      </c>
      <c r="M35" s="18" t="n">
        <v>0</v>
      </c>
      <c r="N35" s="18" t="n">
        <v>0</v>
      </c>
      <c r="O35" s="18" t="n">
        <v>0</v>
      </c>
      <c r="P35" s="18" t="n">
        <v>0</v>
      </c>
      <c r="Q35" s="18" t="n">
        <v>0</v>
      </c>
      <c r="R35" s="18" t="n">
        <v>0</v>
      </c>
      <c r="S35" s="18" t="n">
        <v>186</v>
      </c>
      <c r="T35" s="18" t="n">
        <v>186</v>
      </c>
      <c r="U35" s="18" t="n">
        <v>186</v>
      </c>
      <c r="V35" s="18" t="n">
        <v>495</v>
      </c>
      <c r="W35" s="18" t="n">
        <v>495</v>
      </c>
      <c r="X35" s="18" t="n">
        <v>495</v>
      </c>
      <c r="Y35" s="18" t="n">
        <v>495</v>
      </c>
      <c r="Z35" s="18" t="n">
        <v>495</v>
      </c>
      <c r="AA35" s="18" t="n">
        <v>495</v>
      </c>
      <c r="AB35" s="18" t="n">
        <v>866</v>
      </c>
      <c r="AC35" s="18" t="n">
        <v>866</v>
      </c>
      <c r="AD35" s="18" t="n">
        <v>866</v>
      </c>
      <c r="AE35" s="18" t="n">
        <v>866</v>
      </c>
      <c r="AF35" s="18" t="n">
        <v>866</v>
      </c>
      <c r="AG35" s="18" t="n">
        <v>866</v>
      </c>
      <c r="AH35" s="18" t="n">
        <v>866</v>
      </c>
      <c r="AI35" s="18" t="n">
        <v>866</v>
      </c>
      <c r="AJ35" s="18" t="n">
        <v>866</v>
      </c>
      <c r="AK35" s="18" t="n">
        <v>866</v>
      </c>
    </row>
    <row r="36">
      <c r="A36" s="10" t="inlineStr">
        <is>
          <t>Tier A Harare #2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18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18" t="n">
        <v>0</v>
      </c>
      <c r="Q36" s="18" t="n">
        <v>0</v>
      </c>
      <c r="R36" s="18" t="n">
        <v>0</v>
      </c>
      <c r="S36" s="18" t="n">
        <v>0</v>
      </c>
      <c r="T36" s="18" t="n">
        <v>0</v>
      </c>
      <c r="U36" s="18" t="n">
        <v>0</v>
      </c>
      <c r="V36" s="18" t="n">
        <v>540</v>
      </c>
      <c r="W36" s="18" t="n">
        <v>540</v>
      </c>
      <c r="X36" s="18" t="n">
        <v>540</v>
      </c>
      <c r="Y36" s="18" t="n">
        <v>1440</v>
      </c>
      <c r="Z36" s="18" t="n">
        <v>1440</v>
      </c>
      <c r="AA36" s="18" t="n">
        <v>1440</v>
      </c>
      <c r="AB36" s="18" t="n">
        <v>1440</v>
      </c>
      <c r="AC36" s="18" t="n">
        <v>1440</v>
      </c>
      <c r="AD36" s="18" t="n">
        <v>1440</v>
      </c>
      <c r="AE36" s="18" t="n">
        <v>2520</v>
      </c>
      <c r="AF36" s="18" t="n">
        <v>2520</v>
      </c>
      <c r="AG36" s="18" t="n">
        <v>2520</v>
      </c>
      <c r="AH36" s="18" t="n">
        <v>2520</v>
      </c>
      <c r="AI36" s="18" t="n">
        <v>2520</v>
      </c>
      <c r="AJ36" s="18" t="n">
        <v>2520</v>
      </c>
      <c r="AK36" s="18" t="n">
        <v>2520</v>
      </c>
    </row>
    <row r="37">
      <c r="A37" s="10" t="inlineStr">
        <is>
          <t>Tier C Chinhoyi</t>
        </is>
      </c>
      <c r="B37" s="18" t="n">
        <v>0</v>
      </c>
      <c r="C37" s="18" t="n">
        <v>0</v>
      </c>
      <c r="D37" s="18" t="n">
        <v>0</v>
      </c>
      <c r="E37" s="18" t="n">
        <v>0</v>
      </c>
      <c r="F37" s="18" t="n">
        <v>0</v>
      </c>
      <c r="G37" s="18" t="n">
        <v>0</v>
      </c>
      <c r="H37" s="18" t="n">
        <v>0</v>
      </c>
      <c r="I37" s="18" t="n">
        <v>0</v>
      </c>
      <c r="J37" s="18" t="n">
        <v>0</v>
      </c>
      <c r="K37" s="18" t="n">
        <v>0</v>
      </c>
      <c r="L37" s="18" t="n">
        <v>0</v>
      </c>
      <c r="M37" s="18" t="n">
        <v>0</v>
      </c>
      <c r="N37" s="18" t="n">
        <v>0</v>
      </c>
      <c r="O37" s="18" t="n">
        <v>0</v>
      </c>
      <c r="P37" s="18" t="n">
        <v>0</v>
      </c>
      <c r="Q37" s="18" t="n">
        <v>0</v>
      </c>
      <c r="R37" s="18" t="n">
        <v>0</v>
      </c>
      <c r="S37" s="18" t="n">
        <v>0</v>
      </c>
      <c r="T37" s="18" t="n">
        <v>0</v>
      </c>
      <c r="U37" s="18" t="n">
        <v>0</v>
      </c>
      <c r="V37" s="18" t="n">
        <v>0</v>
      </c>
      <c r="W37" s="18" t="n">
        <v>0</v>
      </c>
      <c r="X37" s="18" t="n">
        <v>0</v>
      </c>
      <c r="Y37" s="18" t="n">
        <v>40</v>
      </c>
      <c r="Z37" s="18" t="n">
        <v>40</v>
      </c>
      <c r="AA37" s="18" t="n">
        <v>40</v>
      </c>
      <c r="AB37" s="18" t="n">
        <v>108</v>
      </c>
      <c r="AC37" s="18" t="n">
        <v>108</v>
      </c>
      <c r="AD37" s="18" t="n">
        <v>108</v>
      </c>
      <c r="AE37" s="18" t="n">
        <v>108</v>
      </c>
      <c r="AF37" s="18" t="n">
        <v>108</v>
      </c>
      <c r="AG37" s="18" t="n">
        <v>108</v>
      </c>
      <c r="AH37" s="18" t="n">
        <v>189</v>
      </c>
      <c r="AI37" s="18" t="n">
        <v>189</v>
      </c>
      <c r="AJ37" s="18" t="n">
        <v>189</v>
      </c>
      <c r="AK37" s="18" t="n">
        <v>189</v>
      </c>
    </row>
    <row r="38">
      <c r="A38" s="10" t="inlineStr">
        <is>
          <t>Tier B Kwekwe</t>
        </is>
      </c>
      <c r="B38" s="18" t="n">
        <v>0</v>
      </c>
      <c r="C38" s="18" t="n">
        <v>0</v>
      </c>
      <c r="D38" s="18" t="n">
        <v>0</v>
      </c>
      <c r="E38" s="18" t="n">
        <v>0</v>
      </c>
      <c r="F38" s="18" t="n">
        <v>0</v>
      </c>
      <c r="G38" s="18" t="n">
        <v>0</v>
      </c>
      <c r="H38" s="18" t="n">
        <v>0</v>
      </c>
      <c r="I38" s="18" t="n">
        <v>0</v>
      </c>
      <c r="J38" s="18" t="n">
        <v>0</v>
      </c>
      <c r="K38" s="18" t="n">
        <v>0</v>
      </c>
      <c r="L38" s="18" t="n">
        <v>0</v>
      </c>
      <c r="M38" s="18" t="n">
        <v>0</v>
      </c>
      <c r="N38" s="18" t="n">
        <v>0</v>
      </c>
      <c r="O38" s="18" t="n">
        <v>0</v>
      </c>
      <c r="P38" s="18" t="n">
        <v>0</v>
      </c>
      <c r="Q38" s="18" t="n">
        <v>0</v>
      </c>
      <c r="R38" s="18" t="n">
        <v>0</v>
      </c>
      <c r="S38" s="18" t="n">
        <v>0</v>
      </c>
      <c r="T38" s="18" t="n">
        <v>0</v>
      </c>
      <c r="U38" s="18" t="n">
        <v>0</v>
      </c>
      <c r="V38" s="18" t="n">
        <v>0</v>
      </c>
      <c r="W38" s="18" t="n">
        <v>0</v>
      </c>
      <c r="X38" s="18" t="n">
        <v>0</v>
      </c>
      <c r="Y38" s="18" t="n">
        <v>0</v>
      </c>
      <c r="Z38" s="18" t="n">
        <v>0</v>
      </c>
      <c r="AA38" s="18" t="n">
        <v>0</v>
      </c>
      <c r="AB38" s="18" t="n">
        <v>186</v>
      </c>
      <c r="AC38" s="18" t="n">
        <v>186</v>
      </c>
      <c r="AD38" s="18" t="n">
        <v>186</v>
      </c>
      <c r="AE38" s="18" t="n">
        <v>495</v>
      </c>
      <c r="AF38" s="18" t="n">
        <v>495</v>
      </c>
      <c r="AG38" s="18" t="n">
        <v>495</v>
      </c>
      <c r="AH38" s="18" t="n">
        <v>495</v>
      </c>
      <c r="AI38" s="18" t="n">
        <v>495</v>
      </c>
      <c r="AJ38" s="18" t="n">
        <v>495</v>
      </c>
      <c r="AK38" s="18" t="n">
        <v>866</v>
      </c>
    </row>
    <row r="39">
      <c r="A39" s="10" t="inlineStr">
        <is>
          <t>Tier A Bulawayo #2</t>
        </is>
      </c>
      <c r="B39" s="18" t="n">
        <v>0</v>
      </c>
      <c r="C39" s="18" t="n">
        <v>0</v>
      </c>
      <c r="D39" s="18" t="n">
        <v>0</v>
      </c>
      <c r="E39" s="18" t="n">
        <v>0</v>
      </c>
      <c r="F39" s="18" t="n">
        <v>0</v>
      </c>
      <c r="G39" s="18" t="n">
        <v>0</v>
      </c>
      <c r="H39" s="18" t="n">
        <v>0</v>
      </c>
      <c r="I39" s="18" t="n">
        <v>0</v>
      </c>
      <c r="J39" s="18" t="n">
        <v>0</v>
      </c>
      <c r="K39" s="18" t="n">
        <v>0</v>
      </c>
      <c r="L39" s="18" t="n">
        <v>0</v>
      </c>
      <c r="M39" s="18" t="n">
        <v>0</v>
      </c>
      <c r="N39" s="18" t="n">
        <v>0</v>
      </c>
      <c r="O39" s="18" t="n">
        <v>0</v>
      </c>
      <c r="P39" s="18" t="n">
        <v>0</v>
      </c>
      <c r="Q39" s="18" t="n">
        <v>0</v>
      </c>
      <c r="R39" s="18" t="n">
        <v>0</v>
      </c>
      <c r="S39" s="18" t="n">
        <v>0</v>
      </c>
      <c r="T39" s="18" t="n">
        <v>0</v>
      </c>
      <c r="U39" s="18" t="n">
        <v>0</v>
      </c>
      <c r="V39" s="18" t="n">
        <v>0</v>
      </c>
      <c r="W39" s="18" t="n">
        <v>0</v>
      </c>
      <c r="X39" s="18" t="n">
        <v>0</v>
      </c>
      <c r="Y39" s="18" t="n">
        <v>0</v>
      </c>
      <c r="Z39" s="18" t="n">
        <v>0</v>
      </c>
      <c r="AA39" s="18" t="n">
        <v>0</v>
      </c>
      <c r="AB39" s="18" t="n">
        <v>0</v>
      </c>
      <c r="AC39" s="18" t="n">
        <v>0</v>
      </c>
      <c r="AD39" s="18" t="n">
        <v>0</v>
      </c>
      <c r="AE39" s="18" t="n">
        <v>540</v>
      </c>
      <c r="AF39" s="18" t="n">
        <v>540</v>
      </c>
      <c r="AG39" s="18" t="n">
        <v>540</v>
      </c>
      <c r="AH39" s="18" t="n">
        <v>1440</v>
      </c>
      <c r="AI39" s="18" t="n">
        <v>1440</v>
      </c>
      <c r="AJ39" s="18" t="n">
        <v>1440</v>
      </c>
      <c r="AK39" s="18" t="n">
        <v>1440</v>
      </c>
    </row>
    <row r="40">
      <c r="A40" s="10" t="inlineStr">
        <is>
          <t>Tier C Beitbridge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18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18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18" t="n">
        <v>0</v>
      </c>
      <c r="V40" s="18" t="n">
        <v>0</v>
      </c>
      <c r="W40" s="18" t="n">
        <v>0</v>
      </c>
      <c r="X40" s="18" t="n">
        <v>0</v>
      </c>
      <c r="Y40" s="18" t="n">
        <v>0</v>
      </c>
      <c r="Z40" s="18" t="n">
        <v>0</v>
      </c>
      <c r="AA40" s="18" t="n">
        <v>0</v>
      </c>
      <c r="AB40" s="18" t="n">
        <v>0</v>
      </c>
      <c r="AC40" s="18" t="n">
        <v>0</v>
      </c>
      <c r="AD40" s="18" t="n">
        <v>0</v>
      </c>
      <c r="AE40" s="18" t="n">
        <v>0</v>
      </c>
      <c r="AF40" s="18" t="n">
        <v>0</v>
      </c>
      <c r="AG40" s="18" t="n">
        <v>0</v>
      </c>
      <c r="AH40" s="18" t="n">
        <v>40</v>
      </c>
      <c r="AI40" s="18" t="n">
        <v>40</v>
      </c>
      <c r="AJ40" s="18" t="n">
        <v>40</v>
      </c>
      <c r="AK40" s="18" t="n">
        <v>108</v>
      </c>
    </row>
    <row r="41">
      <c r="A41" s="23" t="inlineStr">
        <is>
          <t xml:space="preserve">  Total tx surcharge</t>
        </is>
      </c>
      <c r="B41" s="21">
        <f>SUM(B31:B40)</f>
        <v/>
      </c>
      <c r="C41" s="21">
        <f>SUM(C31:C40)</f>
        <v/>
      </c>
      <c r="D41" s="21">
        <f>SUM(D31:D40)</f>
        <v/>
      </c>
      <c r="E41" s="21">
        <f>SUM(E31:E40)</f>
        <v/>
      </c>
      <c r="F41" s="21">
        <f>SUM(F31:F40)</f>
        <v/>
      </c>
      <c r="G41" s="21">
        <f>SUM(G31:G40)</f>
        <v/>
      </c>
      <c r="H41" s="21">
        <f>SUM(H31:H40)</f>
        <v/>
      </c>
      <c r="I41" s="21">
        <f>SUM(I31:I40)</f>
        <v/>
      </c>
      <c r="J41" s="21">
        <f>SUM(J31:J40)</f>
        <v/>
      </c>
      <c r="K41" s="21">
        <f>SUM(K31:K40)</f>
        <v/>
      </c>
      <c r="L41" s="21">
        <f>SUM(L31:L40)</f>
        <v/>
      </c>
      <c r="M41" s="21">
        <f>SUM(M31:M40)</f>
        <v/>
      </c>
      <c r="N41" s="21">
        <f>SUM(N31:N40)</f>
        <v/>
      </c>
      <c r="O41" s="21">
        <f>SUM(O31:O40)</f>
        <v/>
      </c>
      <c r="P41" s="21">
        <f>SUM(P31:P40)</f>
        <v/>
      </c>
      <c r="Q41" s="21">
        <f>SUM(Q31:Q40)</f>
        <v/>
      </c>
      <c r="R41" s="21">
        <f>SUM(R31:R40)</f>
        <v/>
      </c>
      <c r="S41" s="21">
        <f>SUM(S31:S40)</f>
        <v/>
      </c>
      <c r="T41" s="21">
        <f>SUM(T31:T40)</f>
        <v/>
      </c>
      <c r="U41" s="21">
        <f>SUM(U31:U40)</f>
        <v/>
      </c>
      <c r="V41" s="21">
        <f>SUM(V31:V40)</f>
        <v/>
      </c>
      <c r="W41" s="21">
        <f>SUM(W31:W40)</f>
        <v/>
      </c>
      <c r="X41" s="21">
        <f>SUM(X31:X40)</f>
        <v/>
      </c>
      <c r="Y41" s="21">
        <f>SUM(Y31:Y40)</f>
        <v/>
      </c>
      <c r="Z41" s="21">
        <f>SUM(Z31:Z40)</f>
        <v/>
      </c>
      <c r="AA41" s="21">
        <f>SUM(AA31:AA40)</f>
        <v/>
      </c>
      <c r="AB41" s="21">
        <f>SUM(AB31:AB40)</f>
        <v/>
      </c>
      <c r="AC41" s="21">
        <f>SUM(AC31:AC40)</f>
        <v/>
      </c>
      <c r="AD41" s="21">
        <f>SUM(AD31:AD40)</f>
        <v/>
      </c>
      <c r="AE41" s="21">
        <f>SUM(AE31:AE40)</f>
        <v/>
      </c>
      <c r="AF41" s="21">
        <f>SUM(AF31:AF40)</f>
        <v/>
      </c>
      <c r="AG41" s="21">
        <f>SUM(AG31:AG40)</f>
        <v/>
      </c>
      <c r="AH41" s="21">
        <f>SUM(AH31:AH40)</f>
        <v/>
      </c>
      <c r="AI41" s="21">
        <f>SUM(AI31:AI40)</f>
        <v/>
      </c>
      <c r="AJ41" s="21">
        <f>SUM(AJ31:AJ40)</f>
        <v/>
      </c>
      <c r="AK41" s="21">
        <f>SUM(AK31:AK40)</f>
        <v/>
      </c>
    </row>
    <row r="43">
      <c r="A43" s="9" t="inlineStr">
        <is>
          <t>GRAND TOTAL</t>
        </is>
      </c>
      <c r="B43" s="24">
        <f>B15+B28+B41</f>
        <v/>
      </c>
      <c r="C43" s="24">
        <f>C15+C28+C41</f>
        <v/>
      </c>
      <c r="D43" s="24">
        <f>D15+D28+D41</f>
        <v/>
      </c>
      <c r="E43" s="24">
        <f>E15+E28+E41</f>
        <v/>
      </c>
      <c r="F43" s="24">
        <f>F15+F28+F41</f>
        <v/>
      </c>
      <c r="G43" s="24">
        <f>G15+G28+G41</f>
        <v/>
      </c>
      <c r="H43" s="24">
        <f>H15+H28+H41</f>
        <v/>
      </c>
      <c r="I43" s="24">
        <f>I15+I28+I41</f>
        <v/>
      </c>
      <c r="J43" s="24">
        <f>J15+J28+J41</f>
        <v/>
      </c>
      <c r="K43" s="24">
        <f>K15+K28+K41</f>
        <v/>
      </c>
      <c r="L43" s="24">
        <f>L15+L28+L41</f>
        <v/>
      </c>
      <c r="M43" s="24">
        <f>M15+M28+M41</f>
        <v/>
      </c>
      <c r="N43" s="24">
        <f>N15+N28+N41</f>
        <v/>
      </c>
      <c r="O43" s="24">
        <f>O15+O28+O41</f>
        <v/>
      </c>
      <c r="P43" s="24">
        <f>P15+P28+P41</f>
        <v/>
      </c>
      <c r="Q43" s="24">
        <f>Q15+Q28+Q41</f>
        <v/>
      </c>
      <c r="R43" s="24">
        <f>R15+R28+R41</f>
        <v/>
      </c>
      <c r="S43" s="24">
        <f>S15+S28+S41</f>
        <v/>
      </c>
      <c r="T43" s="24">
        <f>T15+T28+T41</f>
        <v/>
      </c>
      <c r="U43" s="24">
        <f>U15+U28+U41</f>
        <v/>
      </c>
      <c r="V43" s="24">
        <f>V15+V28+V41</f>
        <v/>
      </c>
      <c r="W43" s="24">
        <f>W15+W28+W41</f>
        <v/>
      </c>
      <c r="X43" s="24">
        <f>X15+X28+X41</f>
        <v/>
      </c>
      <c r="Y43" s="24">
        <f>Y15+Y28+Y41</f>
        <v/>
      </c>
      <c r="Z43" s="24">
        <f>Z15+Z28+Z41</f>
        <v/>
      </c>
      <c r="AA43" s="24">
        <f>AA15+AA28+AA41</f>
        <v/>
      </c>
      <c r="AB43" s="24">
        <f>AB15+AB28+AB41</f>
        <v/>
      </c>
      <c r="AC43" s="24">
        <f>AC15+AC28+AC41</f>
        <v/>
      </c>
      <c r="AD43" s="24">
        <f>AD15+AD28+AD41</f>
        <v/>
      </c>
      <c r="AE43" s="24">
        <f>AE15+AE28+AE41</f>
        <v/>
      </c>
      <c r="AF43" s="24">
        <f>AF15+AF28+AF41</f>
        <v/>
      </c>
      <c r="AG43" s="24">
        <f>AG15+AG28+AG41</f>
        <v/>
      </c>
      <c r="AH43" s="24">
        <f>AH15+AH28+AH41</f>
        <v/>
      </c>
      <c r="AI43" s="24">
        <f>AI15+AI28+AI41</f>
        <v/>
      </c>
      <c r="AJ43" s="24">
        <f>AJ15+AJ28+AJ41</f>
        <v/>
      </c>
      <c r="AK43" s="24">
        <f>AK15+AK28+AK41</f>
        <v/>
      </c>
    </row>
    <row r="45">
      <c r="A45" s="23" t="inlineStr">
        <is>
          <t>Year 1 (m1–12)</t>
        </is>
      </c>
      <c r="B45" s="21">
        <f>SUM(B43:M43)</f>
        <v/>
      </c>
      <c r="C45" s="25" t="n"/>
      <c r="D45" s="25" t="n"/>
      <c r="E45" s="26" t="n"/>
    </row>
    <row r="46">
      <c r="A46" s="23" t="inlineStr">
        <is>
          <t>Year 2 (m13–24)</t>
        </is>
      </c>
      <c r="B46" s="21">
        <f>SUM(N43:Y43)</f>
        <v/>
      </c>
      <c r="C46" s="25" t="n"/>
      <c r="D46" s="25" t="n"/>
      <c r="E46" s="26" t="n"/>
    </row>
    <row r="47">
      <c r="A47" s="23" t="inlineStr">
        <is>
          <t>Year 3 (m25–36)</t>
        </is>
      </c>
      <c r="B47" s="21">
        <f>SUM(Z43:AK43)</f>
        <v/>
      </c>
      <c r="C47" s="25" t="n"/>
      <c r="D47" s="25" t="n"/>
      <c r="E47" s="26" t="n"/>
    </row>
  </sheetData>
  <mergeCells count="4">
    <mergeCell ref="A1:AL1"/>
    <mergeCell ref="B46:E46"/>
    <mergeCell ref="B47:E47"/>
    <mergeCell ref="B45:E4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1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</cols>
  <sheetData>
    <row r="1" ht="32" customHeight="1">
      <c r="A1" s="7" t="inlineStr">
        <is>
          <t>MONTHLY COSTS — headcount + infrastructure + opex</t>
        </is>
      </c>
    </row>
    <row r="3" ht="26" customHeight="1">
      <c r="A3" s="15" t="inlineStr">
        <is>
          <t>Month</t>
        </is>
      </c>
      <c r="B3" s="15" t="n">
        <v>1</v>
      </c>
      <c r="C3" s="15" t="n">
        <v>2</v>
      </c>
      <c r="D3" s="15" t="n">
        <v>3</v>
      </c>
      <c r="E3" s="15" t="n">
        <v>4</v>
      </c>
      <c r="F3" s="15" t="n">
        <v>5</v>
      </c>
      <c r="G3" s="15" t="n">
        <v>6</v>
      </c>
      <c r="H3" s="15" t="n">
        <v>7</v>
      </c>
      <c r="I3" s="15" t="n">
        <v>8</v>
      </c>
      <c r="J3" s="15" t="n">
        <v>9</v>
      </c>
      <c r="K3" s="15" t="n">
        <v>10</v>
      </c>
      <c r="L3" s="15" t="n">
        <v>11</v>
      </c>
      <c r="M3" s="15" t="n">
        <v>12</v>
      </c>
      <c r="N3" s="15" t="n">
        <v>13</v>
      </c>
      <c r="O3" s="15" t="n">
        <v>14</v>
      </c>
      <c r="P3" s="15" t="n">
        <v>15</v>
      </c>
      <c r="Q3" s="15" t="n">
        <v>16</v>
      </c>
      <c r="R3" s="15" t="n">
        <v>17</v>
      </c>
      <c r="S3" s="15" t="n">
        <v>18</v>
      </c>
      <c r="T3" s="15" t="n">
        <v>19</v>
      </c>
      <c r="U3" s="15" t="n">
        <v>20</v>
      </c>
      <c r="V3" s="15" t="n">
        <v>21</v>
      </c>
      <c r="W3" s="15" t="n">
        <v>22</v>
      </c>
      <c r="X3" s="15" t="n">
        <v>23</v>
      </c>
      <c r="Y3" s="15" t="n">
        <v>24</v>
      </c>
      <c r="Z3" s="15" t="n">
        <v>25</v>
      </c>
      <c r="AA3" s="15" t="n">
        <v>26</v>
      </c>
      <c r="AB3" s="15" t="n">
        <v>27</v>
      </c>
      <c r="AC3" s="15" t="n">
        <v>28</v>
      </c>
      <c r="AD3" s="15" t="n">
        <v>29</v>
      </c>
      <c r="AE3" s="15" t="n">
        <v>30</v>
      </c>
      <c r="AF3" s="15" t="n">
        <v>31</v>
      </c>
      <c r="AG3" s="15" t="n">
        <v>32</v>
      </c>
      <c r="AH3" s="15" t="n">
        <v>33</v>
      </c>
      <c r="AI3" s="15" t="n">
        <v>34</v>
      </c>
      <c r="AJ3" s="15" t="n">
        <v>35</v>
      </c>
      <c r="AK3" s="15" t="n">
        <v>36</v>
      </c>
    </row>
    <row r="4">
      <c r="A4" s="20" t="inlineStr">
        <is>
          <t>HEADCOUNT</t>
        </is>
      </c>
    </row>
    <row r="5">
      <c r="A5" s="10" t="inlineStr">
        <is>
          <t>Founder</t>
        </is>
      </c>
      <c r="B5" s="18" t="n">
        <v>4000</v>
      </c>
      <c r="C5" s="18" t="n">
        <v>4000</v>
      </c>
      <c r="D5" s="18" t="n">
        <v>4000</v>
      </c>
      <c r="E5" s="18" t="n">
        <v>4000</v>
      </c>
      <c r="F5" s="18" t="n">
        <v>4000</v>
      </c>
      <c r="G5" s="18" t="n">
        <v>4000</v>
      </c>
      <c r="H5" s="18" t="n">
        <v>4000</v>
      </c>
      <c r="I5" s="18" t="n">
        <v>4000</v>
      </c>
      <c r="J5" s="18" t="n">
        <v>4000</v>
      </c>
      <c r="K5" s="18" t="n">
        <v>4000</v>
      </c>
      <c r="L5" s="18" t="n">
        <v>4000</v>
      </c>
      <c r="M5" s="18" t="n">
        <v>4000</v>
      </c>
      <c r="N5" s="18" t="n">
        <v>4000</v>
      </c>
      <c r="O5" s="18" t="n">
        <v>4000</v>
      </c>
      <c r="P5" s="18" t="n">
        <v>4000</v>
      </c>
      <c r="Q5" s="18" t="n">
        <v>4000</v>
      </c>
      <c r="R5" s="18" t="n">
        <v>4000</v>
      </c>
      <c r="S5" s="18" t="n">
        <v>4000</v>
      </c>
      <c r="T5" s="18" t="n">
        <v>4000</v>
      </c>
      <c r="U5" s="18" t="n">
        <v>4000</v>
      </c>
      <c r="V5" s="18" t="n">
        <v>4000</v>
      </c>
      <c r="W5" s="18" t="n">
        <v>4000</v>
      </c>
      <c r="X5" s="18" t="n">
        <v>4000</v>
      </c>
      <c r="Y5" s="18" t="n">
        <v>4000</v>
      </c>
      <c r="Z5" s="18" t="n">
        <v>4000</v>
      </c>
      <c r="AA5" s="18" t="n">
        <v>4000</v>
      </c>
      <c r="AB5" s="18" t="n">
        <v>4000</v>
      </c>
      <c r="AC5" s="18" t="n">
        <v>4000</v>
      </c>
      <c r="AD5" s="18" t="n">
        <v>4000</v>
      </c>
      <c r="AE5" s="18" t="n">
        <v>4000</v>
      </c>
      <c r="AF5" s="18" t="n">
        <v>4000</v>
      </c>
      <c r="AG5" s="18" t="n">
        <v>4000</v>
      </c>
      <c r="AH5" s="18" t="n">
        <v>4000</v>
      </c>
      <c r="AI5" s="18" t="n">
        <v>4000</v>
      </c>
      <c r="AJ5" s="18" t="n">
        <v>4000</v>
      </c>
      <c r="AK5" s="18" t="n">
        <v>4000</v>
      </c>
    </row>
    <row r="6">
      <c r="A6" s="10" t="inlineStr">
        <is>
          <t>Ops lead</t>
        </is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0</v>
      </c>
      <c r="G6" s="18" t="n">
        <v>2500</v>
      </c>
      <c r="H6" s="18" t="n">
        <v>2500</v>
      </c>
      <c r="I6" s="18" t="n">
        <v>2500</v>
      </c>
      <c r="J6" s="18" t="n">
        <v>2500</v>
      </c>
      <c r="K6" s="18" t="n">
        <v>2500</v>
      </c>
      <c r="L6" s="18" t="n">
        <v>2500</v>
      </c>
      <c r="M6" s="18" t="n">
        <v>2500</v>
      </c>
      <c r="N6" s="18" t="n">
        <v>2500</v>
      </c>
      <c r="O6" s="18" t="n">
        <v>2500</v>
      </c>
      <c r="P6" s="18" t="n">
        <v>2500</v>
      </c>
      <c r="Q6" s="18" t="n">
        <v>2500</v>
      </c>
      <c r="R6" s="18" t="n">
        <v>2500</v>
      </c>
      <c r="S6" s="18" t="n">
        <v>2500</v>
      </c>
      <c r="T6" s="18" t="n">
        <v>2500</v>
      </c>
      <c r="U6" s="18" t="n">
        <v>2500</v>
      </c>
      <c r="V6" s="18" t="n">
        <v>2500</v>
      </c>
      <c r="W6" s="18" t="n">
        <v>2500</v>
      </c>
      <c r="X6" s="18" t="n">
        <v>2500</v>
      </c>
      <c r="Y6" s="18" t="n">
        <v>2500</v>
      </c>
      <c r="Z6" s="18" t="n">
        <v>2500</v>
      </c>
      <c r="AA6" s="18" t="n">
        <v>2500</v>
      </c>
      <c r="AB6" s="18" t="n">
        <v>2500</v>
      </c>
      <c r="AC6" s="18" t="n">
        <v>2500</v>
      </c>
      <c r="AD6" s="18" t="n">
        <v>2500</v>
      </c>
      <c r="AE6" s="18" t="n">
        <v>2500</v>
      </c>
      <c r="AF6" s="18" t="n">
        <v>2500</v>
      </c>
      <c r="AG6" s="18" t="n">
        <v>2500</v>
      </c>
      <c r="AH6" s="18" t="n">
        <v>2500</v>
      </c>
      <c r="AI6" s="18" t="n">
        <v>2500</v>
      </c>
      <c r="AJ6" s="18" t="n">
        <v>2500</v>
      </c>
      <c r="AK6" s="18" t="n">
        <v>2500</v>
      </c>
    </row>
    <row r="7">
      <c r="A7" s="10" t="inlineStr">
        <is>
          <t>Engineer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3500</v>
      </c>
      <c r="N7" s="18" t="n">
        <v>3500</v>
      </c>
      <c r="O7" s="18" t="n">
        <v>3500</v>
      </c>
      <c r="P7" s="18" t="n">
        <v>3500</v>
      </c>
      <c r="Q7" s="18" t="n">
        <v>3500</v>
      </c>
      <c r="R7" s="18" t="n">
        <v>3500</v>
      </c>
      <c r="S7" s="18" t="n">
        <v>3500</v>
      </c>
      <c r="T7" s="18" t="n">
        <v>3500</v>
      </c>
      <c r="U7" s="18" t="n">
        <v>3500</v>
      </c>
      <c r="V7" s="18" t="n">
        <v>3500</v>
      </c>
      <c r="W7" s="18" t="n">
        <v>3500</v>
      </c>
      <c r="X7" s="18" t="n">
        <v>3500</v>
      </c>
      <c r="Y7" s="18" t="n">
        <v>3500</v>
      </c>
      <c r="Z7" s="18" t="n">
        <v>3500</v>
      </c>
      <c r="AA7" s="18" t="n">
        <v>3500</v>
      </c>
      <c r="AB7" s="18" t="n">
        <v>3500</v>
      </c>
      <c r="AC7" s="18" t="n">
        <v>3500</v>
      </c>
      <c r="AD7" s="18" t="n">
        <v>3500</v>
      </c>
      <c r="AE7" s="18" t="n">
        <v>3500</v>
      </c>
      <c r="AF7" s="18" t="n">
        <v>3500</v>
      </c>
      <c r="AG7" s="18" t="n">
        <v>3500</v>
      </c>
      <c r="AH7" s="18" t="n">
        <v>3500</v>
      </c>
      <c r="AI7" s="18" t="n">
        <v>3500</v>
      </c>
      <c r="AJ7" s="18" t="n">
        <v>3500</v>
      </c>
      <c r="AK7" s="18" t="n">
        <v>3500</v>
      </c>
    </row>
    <row r="8">
      <c r="A8" s="10" t="inlineStr">
        <is>
          <t>BD lead</t>
        </is>
      </c>
      <c r="B8" s="18" t="n">
        <v>0</v>
      </c>
      <c r="C8" s="18" t="n">
        <v>0</v>
      </c>
      <c r="D8" s="18" t="n">
        <v>0</v>
      </c>
      <c r="E8" s="18" t="n">
        <v>0</v>
      </c>
      <c r="F8" s="18" t="n">
        <v>0</v>
      </c>
      <c r="G8" s="18" t="n">
        <v>0</v>
      </c>
      <c r="H8" s="18" t="n">
        <v>0</v>
      </c>
      <c r="I8" s="18" t="n">
        <v>0</v>
      </c>
      <c r="J8" s="18" t="n">
        <v>0</v>
      </c>
      <c r="K8" s="18" t="n">
        <v>0</v>
      </c>
      <c r="L8" s="18" t="n">
        <v>0</v>
      </c>
      <c r="M8" s="18" t="n">
        <v>0</v>
      </c>
      <c r="N8" s="18" t="n">
        <v>0</v>
      </c>
      <c r="O8" s="18" t="n">
        <v>0</v>
      </c>
      <c r="P8" s="18" t="n">
        <v>0</v>
      </c>
      <c r="Q8" s="18" t="n">
        <v>0</v>
      </c>
      <c r="R8" s="18" t="n">
        <v>0</v>
      </c>
      <c r="S8" s="18" t="n">
        <v>2500</v>
      </c>
      <c r="T8" s="18" t="n">
        <v>2500</v>
      </c>
      <c r="U8" s="18" t="n">
        <v>2500</v>
      </c>
      <c r="V8" s="18" t="n">
        <v>2500</v>
      </c>
      <c r="W8" s="18" t="n">
        <v>2500</v>
      </c>
      <c r="X8" s="18" t="n">
        <v>2500</v>
      </c>
      <c r="Y8" s="18" t="n">
        <v>2500</v>
      </c>
      <c r="Z8" s="18" t="n">
        <v>2500</v>
      </c>
      <c r="AA8" s="18" t="n">
        <v>2500</v>
      </c>
      <c r="AB8" s="18" t="n">
        <v>2500</v>
      </c>
      <c r="AC8" s="18" t="n">
        <v>2500</v>
      </c>
      <c r="AD8" s="18" t="n">
        <v>2500</v>
      </c>
      <c r="AE8" s="18" t="n">
        <v>2500</v>
      </c>
      <c r="AF8" s="18" t="n">
        <v>2500</v>
      </c>
      <c r="AG8" s="18" t="n">
        <v>2500</v>
      </c>
      <c r="AH8" s="18" t="n">
        <v>2500</v>
      </c>
      <c r="AI8" s="18" t="n">
        <v>2500</v>
      </c>
      <c r="AJ8" s="18" t="n">
        <v>2500</v>
      </c>
      <c r="AK8" s="18" t="n">
        <v>2500</v>
      </c>
    </row>
    <row r="9">
      <c r="A9" s="23" t="inlineStr">
        <is>
          <t xml:space="preserve">  Total headcount</t>
        </is>
      </c>
      <c r="B9" s="21">
        <f>SUM(B5:B8)</f>
        <v/>
      </c>
      <c r="C9" s="21">
        <f>SUM(C5:C8)</f>
        <v/>
      </c>
      <c r="D9" s="21">
        <f>SUM(D5:D8)</f>
        <v/>
      </c>
      <c r="E9" s="21">
        <f>SUM(E5:E8)</f>
        <v/>
      </c>
      <c r="F9" s="21">
        <f>SUM(F5:F8)</f>
        <v/>
      </c>
      <c r="G9" s="21">
        <f>SUM(G5:G8)</f>
        <v/>
      </c>
      <c r="H9" s="21">
        <f>SUM(H5:H8)</f>
        <v/>
      </c>
      <c r="I9" s="21">
        <f>SUM(I5:I8)</f>
        <v/>
      </c>
      <c r="J9" s="21">
        <f>SUM(J5:J8)</f>
        <v/>
      </c>
      <c r="K9" s="21">
        <f>SUM(K5:K8)</f>
        <v/>
      </c>
      <c r="L9" s="21">
        <f>SUM(L5:L8)</f>
        <v/>
      </c>
      <c r="M9" s="21">
        <f>SUM(M5:M8)</f>
        <v/>
      </c>
      <c r="N9" s="21">
        <f>SUM(N5:N8)</f>
        <v/>
      </c>
      <c r="O9" s="21">
        <f>SUM(O5:O8)</f>
        <v/>
      </c>
      <c r="P9" s="21">
        <f>SUM(P5:P8)</f>
        <v/>
      </c>
      <c r="Q9" s="21">
        <f>SUM(Q5:Q8)</f>
        <v/>
      </c>
      <c r="R9" s="21">
        <f>SUM(R5:R8)</f>
        <v/>
      </c>
      <c r="S9" s="21">
        <f>SUM(S5:S8)</f>
        <v/>
      </c>
      <c r="T9" s="21">
        <f>SUM(T5:T8)</f>
        <v/>
      </c>
      <c r="U9" s="21">
        <f>SUM(U5:U8)</f>
        <v/>
      </c>
      <c r="V9" s="21">
        <f>SUM(V5:V8)</f>
        <v/>
      </c>
      <c r="W9" s="21">
        <f>SUM(W5:W8)</f>
        <v/>
      </c>
      <c r="X9" s="21">
        <f>SUM(X5:X8)</f>
        <v/>
      </c>
      <c r="Y9" s="21">
        <f>SUM(Y5:Y8)</f>
        <v/>
      </c>
      <c r="Z9" s="21">
        <f>SUM(Z5:Z8)</f>
        <v/>
      </c>
      <c r="AA9" s="21">
        <f>SUM(AA5:AA8)</f>
        <v/>
      </c>
      <c r="AB9" s="21">
        <f>SUM(AB5:AB8)</f>
        <v/>
      </c>
      <c r="AC9" s="21">
        <f>SUM(AC5:AC8)</f>
        <v/>
      </c>
      <c r="AD9" s="21">
        <f>SUM(AD5:AD8)</f>
        <v/>
      </c>
      <c r="AE9" s="21">
        <f>SUM(AE5:AE8)</f>
        <v/>
      </c>
      <c r="AF9" s="21">
        <f>SUM(AF5:AF8)</f>
        <v/>
      </c>
      <c r="AG9" s="21">
        <f>SUM(AG5:AG8)</f>
        <v/>
      </c>
      <c r="AH9" s="21">
        <f>SUM(AH5:AH8)</f>
        <v/>
      </c>
      <c r="AI9" s="21">
        <f>SUM(AI5:AI8)</f>
        <v/>
      </c>
      <c r="AJ9" s="21">
        <f>SUM(AJ5:AJ8)</f>
        <v/>
      </c>
      <c r="AK9" s="21">
        <f>SUM(AK5:AK8)</f>
        <v/>
      </c>
    </row>
    <row r="11">
      <c r="A11" s="20" t="inlineStr">
        <is>
          <t>INFRASTRUCTURE</t>
        </is>
      </c>
    </row>
    <row r="12">
      <c r="A12" s="10" t="inlineStr">
        <is>
          <t>Base infrastructure</t>
        </is>
      </c>
      <c r="B12" s="18" t="n">
        <v>300</v>
      </c>
      <c r="C12" s="18" t="n">
        <v>300</v>
      </c>
      <c r="D12" s="18" t="n">
        <v>300</v>
      </c>
      <c r="E12" s="18" t="n">
        <v>300</v>
      </c>
      <c r="F12" s="18" t="n">
        <v>300</v>
      </c>
      <c r="G12" s="18" t="n">
        <v>300</v>
      </c>
      <c r="H12" s="18" t="n">
        <v>300</v>
      </c>
      <c r="I12" s="18" t="n">
        <v>300</v>
      </c>
      <c r="J12" s="18" t="n">
        <v>300</v>
      </c>
      <c r="K12" s="18" t="n">
        <v>300</v>
      </c>
      <c r="L12" s="18" t="n">
        <v>300</v>
      </c>
      <c r="M12" s="18" t="n">
        <v>300</v>
      </c>
      <c r="N12" s="18" t="n">
        <v>300</v>
      </c>
      <c r="O12" s="18" t="n">
        <v>300</v>
      </c>
      <c r="P12" s="18" t="n">
        <v>300</v>
      </c>
      <c r="Q12" s="18" t="n">
        <v>300</v>
      </c>
      <c r="R12" s="18" t="n">
        <v>300</v>
      </c>
      <c r="S12" s="18" t="n">
        <v>300</v>
      </c>
      <c r="T12" s="18" t="n">
        <v>300</v>
      </c>
      <c r="U12" s="18" t="n">
        <v>300</v>
      </c>
      <c r="V12" s="18" t="n">
        <v>300</v>
      </c>
      <c r="W12" s="18" t="n">
        <v>300</v>
      </c>
      <c r="X12" s="18" t="n">
        <v>300</v>
      </c>
      <c r="Y12" s="18" t="n">
        <v>300</v>
      </c>
      <c r="Z12" s="18" t="n">
        <v>300</v>
      </c>
      <c r="AA12" s="18" t="n">
        <v>300</v>
      </c>
      <c r="AB12" s="18" t="n">
        <v>300</v>
      </c>
      <c r="AC12" s="18" t="n">
        <v>300</v>
      </c>
      <c r="AD12" s="18" t="n">
        <v>300</v>
      </c>
      <c r="AE12" s="18" t="n">
        <v>300</v>
      </c>
      <c r="AF12" s="18" t="n">
        <v>300</v>
      </c>
      <c r="AG12" s="18" t="n">
        <v>300</v>
      </c>
      <c r="AH12" s="18" t="n">
        <v>300</v>
      </c>
      <c r="AI12" s="18" t="n">
        <v>300</v>
      </c>
      <c r="AJ12" s="18" t="n">
        <v>300</v>
      </c>
      <c r="AK12" s="18" t="n">
        <v>300</v>
      </c>
    </row>
    <row r="13">
      <c r="A13" s="10" t="inlineStr">
        <is>
          <t>Variable (per active house)</t>
        </is>
      </c>
      <c r="B13" s="18" t="n">
        <v>0</v>
      </c>
      <c r="C13" s="18" t="n">
        <v>0</v>
      </c>
      <c r="D13" s="18" t="n">
        <v>150</v>
      </c>
      <c r="E13" s="18" t="n">
        <v>150</v>
      </c>
      <c r="F13" s="18" t="n">
        <v>150</v>
      </c>
      <c r="G13" s="18" t="n">
        <v>150</v>
      </c>
      <c r="H13" s="18" t="n">
        <v>150</v>
      </c>
      <c r="I13" s="18" t="n">
        <v>300</v>
      </c>
      <c r="J13" s="18" t="n">
        <v>300</v>
      </c>
      <c r="K13" s="18" t="n">
        <v>300</v>
      </c>
      <c r="L13" s="18" t="n">
        <v>300</v>
      </c>
      <c r="M13" s="18" t="n">
        <v>450</v>
      </c>
      <c r="N13" s="18" t="n">
        <v>450</v>
      </c>
      <c r="O13" s="18" t="n">
        <v>450</v>
      </c>
      <c r="P13" s="18" t="n">
        <v>600</v>
      </c>
      <c r="Q13" s="18" t="n">
        <v>600</v>
      </c>
      <c r="R13" s="18" t="n">
        <v>600</v>
      </c>
      <c r="S13" s="18" t="n">
        <v>750</v>
      </c>
      <c r="T13" s="18" t="n">
        <v>750</v>
      </c>
      <c r="U13" s="18" t="n">
        <v>750</v>
      </c>
      <c r="V13" s="18" t="n">
        <v>900</v>
      </c>
      <c r="W13" s="18" t="n">
        <v>900</v>
      </c>
      <c r="X13" s="18" t="n">
        <v>900</v>
      </c>
      <c r="Y13" s="18" t="n">
        <v>1050</v>
      </c>
      <c r="Z13" s="18" t="n">
        <v>1050</v>
      </c>
      <c r="AA13" s="18" t="n">
        <v>1050</v>
      </c>
      <c r="AB13" s="18" t="n">
        <v>1200</v>
      </c>
      <c r="AC13" s="18" t="n">
        <v>1200</v>
      </c>
      <c r="AD13" s="18" t="n">
        <v>1200</v>
      </c>
      <c r="AE13" s="18" t="n">
        <v>1350</v>
      </c>
      <c r="AF13" s="18" t="n">
        <v>1350</v>
      </c>
      <c r="AG13" s="18" t="n">
        <v>1350</v>
      </c>
      <c r="AH13" s="18" t="n">
        <v>1500</v>
      </c>
      <c r="AI13" s="18" t="n">
        <v>1500</v>
      </c>
      <c r="AJ13" s="18" t="n">
        <v>1500</v>
      </c>
      <c r="AK13" s="18" t="n">
        <v>1500</v>
      </c>
    </row>
    <row r="14">
      <c r="A14" s="10" t="inlineStr">
        <is>
          <t>Misc opex</t>
        </is>
      </c>
      <c r="B14" s="18" t="n">
        <v>500</v>
      </c>
      <c r="C14" s="18" t="n">
        <v>500</v>
      </c>
      <c r="D14" s="18" t="n">
        <v>500</v>
      </c>
      <c r="E14" s="18" t="n">
        <v>500</v>
      </c>
      <c r="F14" s="18" t="n">
        <v>500</v>
      </c>
      <c r="G14" s="18" t="n">
        <v>500</v>
      </c>
      <c r="H14" s="18" t="n">
        <v>500</v>
      </c>
      <c r="I14" s="18" t="n">
        <v>500</v>
      </c>
      <c r="J14" s="18" t="n">
        <v>500</v>
      </c>
      <c r="K14" s="18" t="n">
        <v>500</v>
      </c>
      <c r="L14" s="18" t="n">
        <v>500</v>
      </c>
      <c r="M14" s="18" t="n">
        <v>500</v>
      </c>
      <c r="N14" s="18" t="n">
        <v>500</v>
      </c>
      <c r="O14" s="18" t="n">
        <v>500</v>
      </c>
      <c r="P14" s="18" t="n">
        <v>500</v>
      </c>
      <c r="Q14" s="18" t="n">
        <v>500</v>
      </c>
      <c r="R14" s="18" t="n">
        <v>500</v>
      </c>
      <c r="S14" s="18" t="n">
        <v>500</v>
      </c>
      <c r="T14" s="18" t="n">
        <v>500</v>
      </c>
      <c r="U14" s="18" t="n">
        <v>500</v>
      </c>
      <c r="V14" s="18" t="n">
        <v>500</v>
      </c>
      <c r="W14" s="18" t="n">
        <v>500</v>
      </c>
      <c r="X14" s="18" t="n">
        <v>500</v>
      </c>
      <c r="Y14" s="18" t="n">
        <v>500</v>
      </c>
      <c r="Z14" s="18" t="n">
        <v>500</v>
      </c>
      <c r="AA14" s="18" t="n">
        <v>500</v>
      </c>
      <c r="AB14" s="18" t="n">
        <v>500</v>
      </c>
      <c r="AC14" s="18" t="n">
        <v>500</v>
      </c>
      <c r="AD14" s="18" t="n">
        <v>500</v>
      </c>
      <c r="AE14" s="18" t="n">
        <v>500</v>
      </c>
      <c r="AF14" s="18" t="n">
        <v>500</v>
      </c>
      <c r="AG14" s="18" t="n">
        <v>500</v>
      </c>
      <c r="AH14" s="18" t="n">
        <v>500</v>
      </c>
      <c r="AI14" s="18" t="n">
        <v>500</v>
      </c>
      <c r="AJ14" s="18" t="n">
        <v>500</v>
      </c>
      <c r="AK14" s="18" t="n">
        <v>500</v>
      </c>
    </row>
    <row r="15">
      <c r="A15" s="23" t="inlineStr">
        <is>
          <t xml:space="preserve">  Total infra + opex</t>
        </is>
      </c>
      <c r="B15" s="21">
        <f>SUM(B12:B14)</f>
        <v/>
      </c>
      <c r="C15" s="21">
        <f>SUM(C12:C14)</f>
        <v/>
      </c>
      <c r="D15" s="21">
        <f>SUM(D12:D14)</f>
        <v/>
      </c>
      <c r="E15" s="21">
        <f>SUM(E12:E14)</f>
        <v/>
      </c>
      <c r="F15" s="21">
        <f>SUM(F12:F14)</f>
        <v/>
      </c>
      <c r="G15" s="21">
        <f>SUM(G12:G14)</f>
        <v/>
      </c>
      <c r="H15" s="21">
        <f>SUM(H12:H14)</f>
        <v/>
      </c>
      <c r="I15" s="21">
        <f>SUM(I12:I14)</f>
        <v/>
      </c>
      <c r="J15" s="21">
        <f>SUM(J12:J14)</f>
        <v/>
      </c>
      <c r="K15" s="21">
        <f>SUM(K12:K14)</f>
        <v/>
      </c>
      <c r="L15" s="21">
        <f>SUM(L12:L14)</f>
        <v/>
      </c>
      <c r="M15" s="21">
        <f>SUM(M12:M14)</f>
        <v/>
      </c>
      <c r="N15" s="21">
        <f>SUM(N12:N14)</f>
        <v/>
      </c>
      <c r="O15" s="21">
        <f>SUM(O12:O14)</f>
        <v/>
      </c>
      <c r="P15" s="21">
        <f>SUM(P12:P14)</f>
        <v/>
      </c>
      <c r="Q15" s="21">
        <f>SUM(Q12:Q14)</f>
        <v/>
      </c>
      <c r="R15" s="21">
        <f>SUM(R12:R14)</f>
        <v/>
      </c>
      <c r="S15" s="21">
        <f>SUM(S12:S14)</f>
        <v/>
      </c>
      <c r="T15" s="21">
        <f>SUM(T12:T14)</f>
        <v/>
      </c>
      <c r="U15" s="21">
        <f>SUM(U12:U14)</f>
        <v/>
      </c>
      <c r="V15" s="21">
        <f>SUM(V12:V14)</f>
        <v/>
      </c>
      <c r="W15" s="21">
        <f>SUM(W12:W14)</f>
        <v/>
      </c>
      <c r="X15" s="21">
        <f>SUM(X12:X14)</f>
        <v/>
      </c>
      <c r="Y15" s="21">
        <f>SUM(Y12:Y14)</f>
        <v/>
      </c>
      <c r="Z15" s="21">
        <f>SUM(Z12:Z14)</f>
        <v/>
      </c>
      <c r="AA15" s="21">
        <f>SUM(AA12:AA14)</f>
        <v/>
      </c>
      <c r="AB15" s="21">
        <f>SUM(AB12:AB14)</f>
        <v/>
      </c>
      <c r="AC15" s="21">
        <f>SUM(AC12:AC14)</f>
        <v/>
      </c>
      <c r="AD15" s="21">
        <f>SUM(AD12:AD14)</f>
        <v/>
      </c>
      <c r="AE15" s="21">
        <f>SUM(AE12:AE14)</f>
        <v/>
      </c>
      <c r="AF15" s="21">
        <f>SUM(AF12:AF14)</f>
        <v/>
      </c>
      <c r="AG15" s="21">
        <f>SUM(AG12:AG14)</f>
        <v/>
      </c>
      <c r="AH15" s="21">
        <f>SUM(AH12:AH14)</f>
        <v/>
      </c>
      <c r="AI15" s="21">
        <f>SUM(AI12:AI14)</f>
        <v/>
      </c>
      <c r="AJ15" s="21">
        <f>SUM(AJ12:AJ14)</f>
        <v/>
      </c>
      <c r="AK15" s="21">
        <f>SUM(AK12:AK14)</f>
        <v/>
      </c>
    </row>
    <row r="17">
      <c r="A17" s="9" t="inlineStr">
        <is>
          <t>TOTAL COSTS</t>
        </is>
      </c>
      <c r="B17" s="24">
        <f>B9+B15</f>
        <v/>
      </c>
      <c r="C17" s="24">
        <f>C9+C15</f>
        <v/>
      </c>
      <c r="D17" s="24">
        <f>D9+D15</f>
        <v/>
      </c>
      <c r="E17" s="24">
        <f>E9+E15</f>
        <v/>
      </c>
      <c r="F17" s="24">
        <f>F9+F15</f>
        <v/>
      </c>
      <c r="G17" s="24">
        <f>G9+G15</f>
        <v/>
      </c>
      <c r="H17" s="24">
        <f>H9+H15</f>
        <v/>
      </c>
      <c r="I17" s="24">
        <f>I9+I15</f>
        <v/>
      </c>
      <c r="J17" s="24">
        <f>J9+J15</f>
        <v/>
      </c>
      <c r="K17" s="24">
        <f>K9+K15</f>
        <v/>
      </c>
      <c r="L17" s="24">
        <f>L9+L15</f>
        <v/>
      </c>
      <c r="M17" s="24">
        <f>M9+M15</f>
        <v/>
      </c>
      <c r="N17" s="24">
        <f>N9+N15</f>
        <v/>
      </c>
      <c r="O17" s="24">
        <f>O9+O15</f>
        <v/>
      </c>
      <c r="P17" s="24">
        <f>P9+P15</f>
        <v/>
      </c>
      <c r="Q17" s="24">
        <f>Q9+Q15</f>
        <v/>
      </c>
      <c r="R17" s="24">
        <f>R9+R15</f>
        <v/>
      </c>
      <c r="S17" s="24">
        <f>S9+S15</f>
        <v/>
      </c>
      <c r="T17" s="24">
        <f>T9+T15</f>
        <v/>
      </c>
      <c r="U17" s="24">
        <f>U9+U15</f>
        <v/>
      </c>
      <c r="V17" s="24">
        <f>V9+V15</f>
        <v/>
      </c>
      <c r="W17" s="24">
        <f>W9+W15</f>
        <v/>
      </c>
      <c r="X17" s="24">
        <f>X9+X15</f>
        <v/>
      </c>
      <c r="Y17" s="24">
        <f>Y9+Y15</f>
        <v/>
      </c>
      <c r="Z17" s="24">
        <f>Z9+Z15</f>
        <v/>
      </c>
      <c r="AA17" s="24">
        <f>AA9+AA15</f>
        <v/>
      </c>
      <c r="AB17" s="24">
        <f>AB9+AB15</f>
        <v/>
      </c>
      <c r="AC17" s="24">
        <f>AC9+AC15</f>
        <v/>
      </c>
      <c r="AD17" s="24">
        <f>AD9+AD15</f>
        <v/>
      </c>
      <c r="AE17" s="24">
        <f>AE9+AE15</f>
        <v/>
      </c>
      <c r="AF17" s="24">
        <f>AF9+AF15</f>
        <v/>
      </c>
      <c r="AG17" s="24">
        <f>AG9+AG15</f>
        <v/>
      </c>
      <c r="AH17" s="24">
        <f>AH9+AH15</f>
        <v/>
      </c>
      <c r="AI17" s="24">
        <f>AI9+AI15</f>
        <v/>
      </c>
      <c r="AJ17" s="24">
        <f>AJ9+AJ15</f>
        <v/>
      </c>
      <c r="AK17" s="24">
        <f>AK9+AK15</f>
        <v/>
      </c>
    </row>
  </sheetData>
  <mergeCells count="1">
    <mergeCell ref="A1:A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2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32" customHeight="1">
      <c r="A1" s="7" t="inlineStr">
        <is>
          <t>P&amp;L SUMMARY — month by month</t>
        </is>
      </c>
    </row>
    <row r="3" ht="26" customHeight="1">
      <c r="A3" s="15" t="inlineStr">
        <is>
          <t>Month</t>
        </is>
      </c>
      <c r="B3" s="15" t="n">
        <v>1</v>
      </c>
      <c r="C3" s="15" t="n">
        <v>2</v>
      </c>
      <c r="D3" s="15" t="n">
        <v>3</v>
      </c>
      <c r="E3" s="15" t="n">
        <v>4</v>
      </c>
      <c r="F3" s="15" t="n">
        <v>5</v>
      </c>
      <c r="G3" s="15" t="n">
        <v>6</v>
      </c>
      <c r="H3" s="15" t="n">
        <v>7</v>
      </c>
      <c r="I3" s="15" t="n">
        <v>8</v>
      </c>
      <c r="J3" s="15" t="n">
        <v>9</v>
      </c>
      <c r="K3" s="15" t="n">
        <v>10</v>
      </c>
      <c r="L3" s="15" t="n">
        <v>11</v>
      </c>
      <c r="M3" s="15" t="n">
        <v>12</v>
      </c>
      <c r="N3" s="15" t="n">
        <v>13</v>
      </c>
      <c r="O3" s="15" t="n">
        <v>14</v>
      </c>
      <c r="P3" s="15" t="n">
        <v>15</v>
      </c>
      <c r="Q3" s="15" t="n">
        <v>16</v>
      </c>
      <c r="R3" s="15" t="n">
        <v>17</v>
      </c>
      <c r="S3" s="15" t="n">
        <v>18</v>
      </c>
      <c r="T3" s="15" t="n">
        <v>19</v>
      </c>
      <c r="U3" s="15" t="n">
        <v>20</v>
      </c>
      <c r="V3" s="15" t="n">
        <v>21</v>
      </c>
      <c r="W3" s="15" t="n">
        <v>22</v>
      </c>
      <c r="X3" s="15" t="n">
        <v>23</v>
      </c>
      <c r="Y3" s="15" t="n">
        <v>24</v>
      </c>
      <c r="Z3" s="15" t="n">
        <v>25</v>
      </c>
      <c r="AA3" s="15" t="n">
        <v>26</v>
      </c>
      <c r="AB3" s="15" t="n">
        <v>27</v>
      </c>
      <c r="AC3" s="15" t="n">
        <v>28</v>
      </c>
      <c r="AD3" s="15" t="n">
        <v>29</v>
      </c>
      <c r="AE3" s="15" t="n">
        <v>30</v>
      </c>
      <c r="AF3" s="15" t="n">
        <v>31</v>
      </c>
      <c r="AG3" s="15" t="n">
        <v>32</v>
      </c>
      <c r="AH3" s="15" t="n">
        <v>33</v>
      </c>
      <c r="AI3" s="15" t="n">
        <v>34</v>
      </c>
      <c r="AJ3" s="15" t="n">
        <v>35</v>
      </c>
      <c r="AK3" s="15" t="n">
        <v>36</v>
      </c>
    </row>
    <row r="4">
      <c r="A4" s="23" t="inlineStr">
        <is>
          <t>Revenue</t>
        </is>
      </c>
      <c r="B4" s="18">
        <f>'3. Revenue'!B43</f>
        <v/>
      </c>
      <c r="C4" s="18">
        <f>'3. Revenue'!C43</f>
        <v/>
      </c>
      <c r="D4" s="18">
        <f>'3. Revenue'!D43</f>
        <v/>
      </c>
      <c r="E4" s="18">
        <f>'3. Revenue'!E43</f>
        <v/>
      </c>
      <c r="F4" s="18">
        <f>'3. Revenue'!F43</f>
        <v/>
      </c>
      <c r="G4" s="18">
        <f>'3. Revenue'!G43</f>
        <v/>
      </c>
      <c r="H4" s="18">
        <f>'3. Revenue'!H43</f>
        <v/>
      </c>
      <c r="I4" s="18">
        <f>'3. Revenue'!I43</f>
        <v/>
      </c>
      <c r="J4" s="18">
        <f>'3. Revenue'!J43</f>
        <v/>
      </c>
      <c r="K4" s="18">
        <f>'3. Revenue'!K43</f>
        <v/>
      </c>
      <c r="L4" s="18">
        <f>'3. Revenue'!L43</f>
        <v/>
      </c>
      <c r="M4" s="18">
        <f>'3. Revenue'!M43</f>
        <v/>
      </c>
      <c r="N4" s="18">
        <f>'3. Revenue'!N43</f>
        <v/>
      </c>
      <c r="O4" s="18">
        <f>'3. Revenue'!O43</f>
        <v/>
      </c>
      <c r="P4" s="18">
        <f>'3. Revenue'!P43</f>
        <v/>
      </c>
      <c r="Q4" s="18">
        <f>'3. Revenue'!Q43</f>
        <v/>
      </c>
      <c r="R4" s="18">
        <f>'3. Revenue'!R43</f>
        <v/>
      </c>
      <c r="S4" s="18">
        <f>'3. Revenue'!S43</f>
        <v/>
      </c>
      <c r="T4" s="18">
        <f>'3. Revenue'!T43</f>
        <v/>
      </c>
      <c r="U4" s="18">
        <f>'3. Revenue'!U43</f>
        <v/>
      </c>
      <c r="V4" s="18">
        <f>'3. Revenue'!V43</f>
        <v/>
      </c>
      <c r="W4" s="18">
        <f>'3. Revenue'!W43</f>
        <v/>
      </c>
      <c r="X4" s="18">
        <f>'3. Revenue'!X43</f>
        <v/>
      </c>
      <c r="Y4" s="18">
        <f>'3. Revenue'!Y43</f>
        <v/>
      </c>
      <c r="Z4" s="18">
        <f>'3. Revenue'!Z43</f>
        <v/>
      </c>
      <c r="AA4" s="18">
        <f>'3. Revenue'!AA43</f>
        <v/>
      </c>
      <c r="AB4" s="18">
        <f>'3. Revenue'!AB43</f>
        <v/>
      </c>
      <c r="AC4" s="18">
        <f>'3. Revenue'!AC43</f>
        <v/>
      </c>
      <c r="AD4" s="18">
        <f>'3. Revenue'!AD43</f>
        <v/>
      </c>
      <c r="AE4" s="18">
        <f>'3. Revenue'!AE43</f>
        <v/>
      </c>
      <c r="AF4" s="18">
        <f>'3. Revenue'!AF43</f>
        <v/>
      </c>
      <c r="AG4" s="18">
        <f>'3. Revenue'!AG43</f>
        <v/>
      </c>
      <c r="AH4" s="18">
        <f>'3. Revenue'!AH43</f>
        <v/>
      </c>
      <c r="AI4" s="18">
        <f>'3. Revenue'!AI43</f>
        <v/>
      </c>
      <c r="AJ4" s="18">
        <f>'3. Revenue'!AJ43</f>
        <v/>
      </c>
      <c r="AK4" s="18">
        <f>'3. Revenue'!AK43</f>
        <v/>
      </c>
    </row>
    <row r="5">
      <c r="A5" s="23" t="inlineStr">
        <is>
          <t>Costs</t>
        </is>
      </c>
      <c r="B5" s="18">
        <f>-'4. Costs'!B17</f>
        <v/>
      </c>
      <c r="C5" s="18">
        <f>-'4. Costs'!C17</f>
        <v/>
      </c>
      <c r="D5" s="18">
        <f>-'4. Costs'!D17</f>
        <v/>
      </c>
      <c r="E5" s="18">
        <f>-'4. Costs'!E17</f>
        <v/>
      </c>
      <c r="F5" s="18">
        <f>-'4. Costs'!F17</f>
        <v/>
      </c>
      <c r="G5" s="18">
        <f>-'4. Costs'!G17</f>
        <v/>
      </c>
      <c r="H5" s="18">
        <f>-'4. Costs'!H17</f>
        <v/>
      </c>
      <c r="I5" s="18">
        <f>-'4. Costs'!I17</f>
        <v/>
      </c>
      <c r="J5" s="18">
        <f>-'4. Costs'!J17</f>
        <v/>
      </c>
      <c r="K5" s="18">
        <f>-'4. Costs'!K17</f>
        <v/>
      </c>
      <c r="L5" s="18">
        <f>-'4. Costs'!L17</f>
        <v/>
      </c>
      <c r="M5" s="18">
        <f>-'4. Costs'!M17</f>
        <v/>
      </c>
      <c r="N5" s="18">
        <f>-'4. Costs'!N17</f>
        <v/>
      </c>
      <c r="O5" s="18">
        <f>-'4. Costs'!O17</f>
        <v/>
      </c>
      <c r="P5" s="18">
        <f>-'4. Costs'!P17</f>
        <v/>
      </c>
      <c r="Q5" s="18">
        <f>-'4. Costs'!Q17</f>
        <v/>
      </c>
      <c r="R5" s="18">
        <f>-'4. Costs'!R17</f>
        <v/>
      </c>
      <c r="S5" s="18">
        <f>-'4. Costs'!S17</f>
        <v/>
      </c>
      <c r="T5" s="18">
        <f>-'4. Costs'!T17</f>
        <v/>
      </c>
      <c r="U5" s="18">
        <f>-'4. Costs'!U17</f>
        <v/>
      </c>
      <c r="V5" s="18">
        <f>-'4. Costs'!V17</f>
        <v/>
      </c>
      <c r="W5" s="18">
        <f>-'4. Costs'!W17</f>
        <v/>
      </c>
      <c r="X5" s="18">
        <f>-'4. Costs'!X17</f>
        <v/>
      </c>
      <c r="Y5" s="18">
        <f>-'4. Costs'!Y17</f>
        <v/>
      </c>
      <c r="Z5" s="18">
        <f>-'4. Costs'!Z17</f>
        <v/>
      </c>
      <c r="AA5" s="18">
        <f>-'4. Costs'!AA17</f>
        <v/>
      </c>
      <c r="AB5" s="18">
        <f>-'4. Costs'!AB17</f>
        <v/>
      </c>
      <c r="AC5" s="18">
        <f>-'4. Costs'!AC17</f>
        <v/>
      </c>
      <c r="AD5" s="18">
        <f>-'4. Costs'!AD17</f>
        <v/>
      </c>
      <c r="AE5" s="18">
        <f>-'4. Costs'!AE17</f>
        <v/>
      </c>
      <c r="AF5" s="18">
        <f>-'4. Costs'!AF17</f>
        <v/>
      </c>
      <c r="AG5" s="18">
        <f>-'4. Costs'!AG17</f>
        <v/>
      </c>
      <c r="AH5" s="18">
        <f>-'4. Costs'!AH17</f>
        <v/>
      </c>
      <c r="AI5" s="18">
        <f>-'4. Costs'!AI17</f>
        <v/>
      </c>
      <c r="AJ5" s="18">
        <f>-'4. Costs'!AJ17</f>
        <v/>
      </c>
      <c r="AK5" s="18">
        <f>-'4. Costs'!AK17</f>
        <v/>
      </c>
    </row>
    <row r="6">
      <c r="A6" s="27" t="inlineStr">
        <is>
          <t>NET</t>
        </is>
      </c>
      <c r="B6" s="28">
        <f>B4+B5</f>
        <v/>
      </c>
      <c r="C6" s="28">
        <f>C4+C5</f>
        <v/>
      </c>
      <c r="D6" s="28">
        <f>D4+D5</f>
        <v/>
      </c>
      <c r="E6" s="28">
        <f>E4+E5</f>
        <v/>
      </c>
      <c r="F6" s="28">
        <f>F4+F5</f>
        <v/>
      </c>
      <c r="G6" s="28">
        <f>G4+G5</f>
        <v/>
      </c>
      <c r="H6" s="28">
        <f>H4+H5</f>
        <v/>
      </c>
      <c r="I6" s="28">
        <f>I4+I5</f>
        <v/>
      </c>
      <c r="J6" s="28">
        <f>J4+J5</f>
        <v/>
      </c>
      <c r="K6" s="28">
        <f>K4+K5</f>
        <v/>
      </c>
      <c r="L6" s="28">
        <f>L4+L5</f>
        <v/>
      </c>
      <c r="M6" s="28">
        <f>M4+M5</f>
        <v/>
      </c>
      <c r="N6" s="28">
        <f>N4+N5</f>
        <v/>
      </c>
      <c r="O6" s="28">
        <f>O4+O5</f>
        <v/>
      </c>
      <c r="P6" s="28">
        <f>P4+P5</f>
        <v/>
      </c>
      <c r="Q6" s="28">
        <f>Q4+Q5</f>
        <v/>
      </c>
      <c r="R6" s="28">
        <f>R4+R5</f>
        <v/>
      </c>
      <c r="S6" s="28">
        <f>S4+S5</f>
        <v/>
      </c>
      <c r="T6" s="28">
        <f>T4+T5</f>
        <v/>
      </c>
      <c r="U6" s="28">
        <f>U4+U5</f>
        <v/>
      </c>
      <c r="V6" s="28">
        <f>V4+V5</f>
        <v/>
      </c>
      <c r="W6" s="28">
        <f>W4+W5</f>
        <v/>
      </c>
      <c r="X6" s="28">
        <f>X4+X5</f>
        <v/>
      </c>
      <c r="Y6" s="28">
        <f>Y4+Y5</f>
        <v/>
      </c>
      <c r="Z6" s="28">
        <f>Z4+Z5</f>
        <v/>
      </c>
      <c r="AA6" s="28">
        <f>AA4+AA5</f>
        <v/>
      </c>
      <c r="AB6" s="28">
        <f>AB4+AB5</f>
        <v/>
      </c>
      <c r="AC6" s="28">
        <f>AC4+AC5</f>
        <v/>
      </c>
      <c r="AD6" s="28">
        <f>AD4+AD5</f>
        <v/>
      </c>
      <c r="AE6" s="28">
        <f>AE4+AE5</f>
        <v/>
      </c>
      <c r="AF6" s="28">
        <f>AF4+AF5</f>
        <v/>
      </c>
      <c r="AG6" s="28">
        <f>AG4+AG5</f>
        <v/>
      </c>
      <c r="AH6" s="28">
        <f>AH4+AH5</f>
        <v/>
      </c>
      <c r="AI6" s="28">
        <f>AI4+AI5</f>
        <v/>
      </c>
      <c r="AJ6" s="28">
        <f>AJ4+AJ5</f>
        <v/>
      </c>
      <c r="AK6" s="28">
        <f>AK4+AK5</f>
        <v/>
      </c>
    </row>
    <row r="7">
      <c r="A7" s="23" t="inlineStr">
        <is>
          <t>Cumulative net</t>
        </is>
      </c>
      <c r="B7" s="18">
        <f>B6</f>
        <v/>
      </c>
      <c r="C7" s="18">
        <f>C6+B7</f>
        <v/>
      </c>
      <c r="D7" s="18">
        <f>D6+C7</f>
        <v/>
      </c>
      <c r="E7" s="18">
        <f>E6+D7</f>
        <v/>
      </c>
      <c r="F7" s="18">
        <f>F6+E7</f>
        <v/>
      </c>
      <c r="G7" s="18">
        <f>G6+F7</f>
        <v/>
      </c>
      <c r="H7" s="18">
        <f>H6+G7</f>
        <v/>
      </c>
      <c r="I7" s="18">
        <f>I6+H7</f>
        <v/>
      </c>
      <c r="J7" s="18">
        <f>J6+I7</f>
        <v/>
      </c>
      <c r="K7" s="18">
        <f>K6+J7</f>
        <v/>
      </c>
      <c r="L7" s="18">
        <f>L6+K7</f>
        <v/>
      </c>
      <c r="M7" s="18">
        <f>M6+L7</f>
        <v/>
      </c>
      <c r="N7" s="18">
        <f>N6+M7</f>
        <v/>
      </c>
      <c r="O7" s="18">
        <f>O6+N7</f>
        <v/>
      </c>
      <c r="P7" s="18">
        <f>P6+O7</f>
        <v/>
      </c>
      <c r="Q7" s="18">
        <f>Q6+P7</f>
        <v/>
      </c>
      <c r="R7" s="18">
        <f>R6+Q7</f>
        <v/>
      </c>
      <c r="S7" s="18">
        <f>S6+R7</f>
        <v/>
      </c>
      <c r="T7" s="18">
        <f>T6+S7</f>
        <v/>
      </c>
      <c r="U7" s="18">
        <f>U6+T7</f>
        <v/>
      </c>
      <c r="V7" s="18">
        <f>V6+U7</f>
        <v/>
      </c>
      <c r="W7" s="18">
        <f>W6+V7</f>
        <v/>
      </c>
      <c r="X7" s="18">
        <f>X6+W7</f>
        <v/>
      </c>
      <c r="Y7" s="18">
        <f>Y6+X7</f>
        <v/>
      </c>
      <c r="Z7" s="18">
        <f>Z6+Y7</f>
        <v/>
      </c>
      <c r="AA7" s="18">
        <f>AA6+Z7</f>
        <v/>
      </c>
      <c r="AB7" s="18">
        <f>AB6+AA7</f>
        <v/>
      </c>
      <c r="AC7" s="18">
        <f>AC6+AB7</f>
        <v/>
      </c>
      <c r="AD7" s="18">
        <f>AD6+AC7</f>
        <v/>
      </c>
      <c r="AE7" s="18">
        <f>AE6+AD7</f>
        <v/>
      </c>
      <c r="AF7" s="18">
        <f>AF6+AE7</f>
        <v/>
      </c>
      <c r="AG7" s="18">
        <f>AG6+AF7</f>
        <v/>
      </c>
      <c r="AH7" s="18">
        <f>AH6+AG7</f>
        <v/>
      </c>
      <c r="AI7" s="18">
        <f>AI6+AH7</f>
        <v/>
      </c>
      <c r="AJ7" s="18">
        <f>AJ6+AI7</f>
        <v/>
      </c>
      <c r="AK7" s="18">
        <f>AK6+AJ7</f>
        <v/>
      </c>
    </row>
    <row r="10">
      <c r="A10" s="29" t="inlineStr">
        <is>
          <t>YEARLY SUMMARY</t>
        </is>
      </c>
    </row>
    <row r="11">
      <c r="A11" t="inlineStr"/>
      <c r="B11" s="15" t="inlineStr">
        <is>
          <t>Year 1</t>
        </is>
      </c>
      <c r="C11" s="15" t="inlineStr">
        <is>
          <t>Year 2</t>
        </is>
      </c>
      <c r="D11" s="15" t="inlineStr">
        <is>
          <t>Year 3</t>
        </is>
      </c>
      <c r="E11" s="15" t="inlineStr">
        <is>
          <t>3-yr total</t>
        </is>
      </c>
    </row>
    <row r="12">
      <c r="A12" s="23" t="inlineStr">
        <is>
          <t>Revenue</t>
        </is>
      </c>
      <c r="B12" s="18">
        <f>SUM(B4:M4)</f>
        <v/>
      </c>
      <c r="C12" s="18">
        <f>SUM(N4:Y4)</f>
        <v/>
      </c>
      <c r="D12" s="18">
        <f>SUM(Z4:AK4)</f>
        <v/>
      </c>
      <c r="E12" s="18">
        <f>B12+C12+D12</f>
        <v/>
      </c>
    </row>
    <row r="13">
      <c r="A13" s="23" t="inlineStr">
        <is>
          <t>Costs</t>
        </is>
      </c>
      <c r="B13" s="18">
        <f>SUM(B5:M5)</f>
        <v/>
      </c>
      <c r="C13" s="18">
        <f>SUM(N5:Y5)</f>
        <v/>
      </c>
      <c r="D13" s="18">
        <f>SUM(Z5:AK5)</f>
        <v/>
      </c>
      <c r="E13" s="18">
        <f>B13+C13+D13</f>
        <v/>
      </c>
    </row>
    <row r="14">
      <c r="A14" s="27" t="inlineStr">
        <is>
          <t>NET</t>
        </is>
      </c>
      <c r="B14" s="21">
        <f>B12+B13</f>
        <v/>
      </c>
      <c r="C14" s="21">
        <f>C12+C13</f>
        <v/>
      </c>
      <c r="D14" s="21">
        <f>D12+D13</f>
        <v/>
      </c>
      <c r="E14" s="21">
        <f>E12+E13</f>
        <v/>
      </c>
    </row>
    <row r="16">
      <c r="A16" s="30" t="inlineStr">
        <is>
          <t>NOTES</t>
        </is>
      </c>
    </row>
    <row r="17">
      <c r="A17" s="31" t="inlineStr">
        <is>
          <t>•  Conservative model. Assumes 10 customers signed across 33 months. Aggressive scenarios should push to 15+.</t>
        </is>
      </c>
    </row>
    <row r="18">
      <c r="A18" s="31" t="inlineStr">
        <is>
          <t>•  Year 1 expected to be unprofitable — investment in pilot + first hire.</t>
        </is>
      </c>
    </row>
    <row r="19">
      <c r="A19" s="31" t="inlineStr">
        <is>
          <t>•  Break-even typically lands between month 9–14 depending on pilot conversion + ramp.</t>
        </is>
      </c>
    </row>
    <row r="20">
      <c r="A20" s="31" t="inlineStr">
        <is>
          <t>•  Year 2 is the cash-flow inflection. By Year 3 the business is throwing off ~$200k+ in profit on the conservative ramp.</t>
        </is>
      </c>
    </row>
    <row r="21">
      <c r="A21" s="31" t="inlineStr">
        <is>
          <t>•  Currency: all figures USD. Local-currency settlements convert at point of transaction (Paynow handles).</t>
        </is>
      </c>
    </row>
    <row r="22">
      <c r="A22" s="31" t="inlineStr">
        <is>
          <t>•  Not modelled: option-pool dilution, fundraising (none assumed), corporate tax, working-capital float on retainers.</t>
        </is>
      </c>
    </row>
  </sheetData>
  <mergeCells count="9">
    <mergeCell ref="A16:F16"/>
    <mergeCell ref="A10:F10"/>
    <mergeCell ref="A20:O20"/>
    <mergeCell ref="A19:O19"/>
    <mergeCell ref="A1:AL1"/>
    <mergeCell ref="A22:O22"/>
    <mergeCell ref="A17:O17"/>
    <mergeCell ref="A18:O18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2026-05-11T09:23:47Z</dcterms:created>
  <dcterms:modified xsi:type="dcterms:W3CDTF">2026-05-11T09:23:47Z</dcterms:modified>
</cp:coreProperties>
</file>