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EADME" sheetId="1" state="visible" r:id="rId1"/>
    <sheet name="1. Assumptions" sheetId="2" state="visible" r:id="rId2"/>
    <sheet name="2. House ramp" sheetId="3" state="visible" r:id="rId3"/>
    <sheet name="3. Revenue" sheetId="4" state="visible" r:id="rId4"/>
    <sheet name="4. Costs" sheetId="5" state="visible" r:id="rId5"/>
    <sheet name="5. P&amp;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$&quot;#,##0;[Red](&quot;US$&quot;#,##0)"/>
    <numFmt numFmtId="165" formatCode="0.0%"/>
  </numFmts>
  <fonts count="16">
    <font>
      <name val="Calibri"/>
      <family val="2"/>
      <color theme="1"/>
      <sz val="11"/>
      <scheme val="minor"/>
    </font>
    <font>
      <name val="Georgia"/>
      <b val="1"/>
      <color rgb="00FFFFFF"/>
      <sz val="13"/>
    </font>
    <font>
      <name val="Calibri"/>
      <i val="1"/>
      <color rgb="007A4F47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  <font>
      <name val="Calibri"/>
      <i val="1"/>
      <color rgb="007A4F47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B85042"/>
      <sz val="11"/>
    </font>
    <font>
      <name val="Georgia"/>
      <b val="1"/>
      <color rgb="00FFFFFF"/>
      <sz val="12"/>
    </font>
    <font>
      <name val="Calibri"/>
      <color rgb="007A4F47"/>
      <sz val="10"/>
    </font>
    <font>
      <name val="Georgia"/>
      <b val="1"/>
      <color rgb="00FFFFFF"/>
      <sz val="24"/>
    </font>
    <font>
      <name val="Georgia"/>
      <i val="1"/>
      <color rgb="00D4A843"/>
      <sz val="14"/>
    </font>
    <font>
      <name val="Calibri"/>
      <i val="1"/>
      <color rgb="007A4F47"/>
      <sz val="11"/>
    </font>
    <font>
      <name val="Calibri"/>
      <color rgb="002D1B1A"/>
      <sz val="10"/>
    </font>
  </fonts>
  <fills count="6">
    <fill>
      <patternFill/>
    </fill>
    <fill>
      <patternFill patternType="gray125"/>
    </fill>
    <fill>
      <patternFill patternType="solid">
        <fgColor rgb="002D1B1A"/>
      </patternFill>
    </fill>
    <fill>
      <patternFill patternType="solid">
        <fgColor rgb="00F5E6D3"/>
      </patternFill>
    </fill>
    <fill>
      <patternFill patternType="solid">
        <fgColor rgb="00D4A843"/>
      </patternFill>
    </fill>
    <fill>
      <patternFill patternType="solid">
        <fgColor rgb="00B8504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 vertical="top" indent="1"/>
    </xf>
    <xf numFmtId="0" fontId="9" fillId="0" borderId="0" applyAlignment="1" pivotButton="0" quotePrefix="0" xfId="0">
      <alignment horizontal="left" vertical="top" inden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center"/>
    </xf>
    <xf numFmtId="0" fontId="3" fillId="2" borderId="0" pivotButton="0" quotePrefix="0" xfId="0"/>
    <xf numFmtId="164" fontId="3" fillId="2" borderId="0" applyAlignment="1" pivotButton="0" quotePrefix="0" xfId="0">
      <alignment horizontal="right" vertical="center"/>
    </xf>
    <xf numFmtId="0" fontId="9" fillId="0" borderId="0" pivotButton="0" quotePrefix="0" xfId="0"/>
    <xf numFmtId="0" fontId="6" fillId="0" borderId="0" pivotButton="0" quotePrefix="0" xfId="0"/>
    <xf numFmtId="164" fontId="8" fillId="4" borderId="0" applyAlignment="1" pivotButton="0" quotePrefix="0" xfId="0">
      <alignment horizontal="right" vertical="center"/>
    </xf>
    <xf numFmtId="0" fontId="10" fillId="2" borderId="0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50" customHeight="1">
      <c r="A1" s="1" t="inlineStr">
        <is>
          <t>ZIMLIVESTOCK</t>
        </is>
      </c>
    </row>
    <row r="2" ht="28" customHeight="1">
      <c r="A2" s="2" t="inlineStr">
        <is>
          <t>Financial Model — 5-year scaling B2B-SaaS platform (v3.0)</t>
        </is>
      </c>
    </row>
    <row r="3" ht="24" customHeight="1">
      <c r="A3" s="3" t="inlineStr">
        <is>
          <t>v3.0  ·  Tatenda Nyemudzo  ·  June 2026  ·  scaling platform (self-funded, working-capital buffer)</t>
        </is>
      </c>
    </row>
    <row r="5" ht="16" customHeight="1">
      <c r="A5" s="4" t="inlineStr"/>
    </row>
    <row r="6" ht="16" customHeight="1">
      <c r="A6" s="5" t="inlineStr">
        <is>
          <t>WHAT'S IN THIS WORKBOOK</t>
        </is>
      </c>
    </row>
    <row r="7" ht="16" customHeight="1">
      <c r="A7" s="4" t="inlineStr"/>
    </row>
    <row r="8" ht="16" customHeight="1">
      <c r="A8" s="4" t="inlineStr">
        <is>
          <t>1. Assumptions   — All inputs in gold cells. Pricing (4 lines), adoption, scale ramp, costs.</t>
        </is>
      </c>
    </row>
    <row r="9" ht="16" customHeight="1">
      <c r="A9" s="4" t="inlineStr">
        <is>
          <t>2. House ramp    — Houses live by year (5 → 8 → 12 → 16 → 20), tier mix, GMV onto rails.</t>
        </is>
      </c>
    </row>
    <row r="10" ht="16" customHeight="1">
      <c r="A10" s="4" t="inlineStr">
        <is>
          <t>3. Revenue       — Year-by-year across the 4 revenue lines, totaled, + revenue mix.</t>
        </is>
      </c>
    </row>
    <row r="11" ht="16" customHeight="1">
      <c r="A11" s="4" t="inlineStr">
        <is>
          <t>4. Costs         — Year-by-year across the 4 cost lines (founder salary inside payroll).</t>
        </is>
      </c>
    </row>
    <row r="12" ht="16" customHeight="1">
      <c r="A12" s="4" t="inlineStr">
        <is>
          <t>5. P&amp;L summary   — Year-by-year revenue, costs, surplus, cumulative, GMV, drivers + notes.</t>
        </is>
      </c>
    </row>
    <row r="13" ht="16" customHeight="1">
      <c r="A13" s="4" t="inlineStr"/>
    </row>
    <row r="14" ht="16" customHeight="1">
      <c r="A14" s="4" t="inlineStr"/>
    </row>
    <row r="15" ht="16" customHeight="1">
      <c r="A15" s="5" t="inlineStr">
        <is>
          <t>THE FRAME — A SCALING B2B-SaaS PLATFORM</t>
        </is>
      </c>
    </row>
    <row r="16" ht="16" customHeight="1">
      <c r="A16" s="4" t="inlineStr"/>
    </row>
    <row r="17" ht="16" customHeight="1">
      <c r="A17" s="4" t="inlineStr">
        <is>
          <t>·  Auction houses ONBOARD as isolated (RLS) tenants via a self-serve wizard and pay a one-off</t>
        </is>
      </c>
    </row>
    <row r="18" ht="16" customHeight="1">
      <c r="A18" s="4" t="inlineStr">
        <is>
          <t xml:space="preserve">   onboarding fee + a monthly platform subscription + a thin 0.75% take on settled GMV.</t>
        </is>
      </c>
    </row>
    <row r="19" ht="16" customHeight="1">
      <c r="A19" s="4" t="inlineStr">
        <is>
          <t>·  B2B today; B2B2C tomorrow — the platform diversifies into consumer TRANSPORT (delivery).</t>
        </is>
      </c>
    </row>
    <row r="20" ht="16" customHeight="1">
      <c r="A20" s="4" t="inlineStr">
        <is>
          <t>·  ~20 houses over 5 years (about 1/3 of the ~40-60 house market), anchors-first.</t>
        </is>
      </c>
    </row>
    <row r="21" ht="16" customHeight="1">
      <c r="A21" s="4" t="inlineStr">
        <is>
          <t>·  A small team (~9-13 people by Y5), largely SELF-FUNDED with a 2-3 month working-capital</t>
        </is>
      </c>
    </row>
    <row r="22" ht="16" customHeight="1">
      <c r="A22" s="4" t="inlineStr">
        <is>
          <t xml:space="preserve">   buffer (NOT external equity). The founder draws a salary inside payroll.</t>
        </is>
      </c>
    </row>
    <row r="23" ht="16" customHeight="1">
      <c r="A23" s="4" t="inlineStr">
        <is>
          <t>·  Five live channels: web/PWA, WhatsApp, USSD, BillPay-as-biller, Facebook Messenger.</t>
        </is>
      </c>
    </row>
    <row r="24" ht="16" customHeight="1">
      <c r="A24" s="4" t="inlineStr"/>
    </row>
    <row r="25" ht="16" customHeight="1">
      <c r="A25" s="4" t="inlineStr"/>
    </row>
    <row r="26" ht="16" customHeight="1">
      <c r="A26" s="5" t="inlineStr">
        <is>
          <t>HONEST HEADLINE OUTPUTS (v3.0)</t>
        </is>
      </c>
    </row>
    <row r="27" ht="16" customHeight="1">
      <c r="A27" s="4" t="inlineStr"/>
    </row>
    <row r="28" ht="16" customHeight="1">
      <c r="A28" s="4" t="inlineStr">
        <is>
          <t>·  Year 1:  revenue US$61,636    cost US$48,841    surplus +US$12,795    (5 houses live)</t>
        </is>
      </c>
    </row>
    <row r="29" ht="16" customHeight="1">
      <c r="A29" s="4" t="inlineStr">
        <is>
          <t>·  Year 3:  revenue US$198,346   cost US$132,810   surplus +US$65,536    (12 houses live)</t>
        </is>
      </c>
    </row>
    <row r="30" ht="16" customHeight="1">
      <c r="A30" s="4" t="inlineStr">
        <is>
          <t>·  Year 5:  revenue US$361,695   cost US$235,930   surplus +US$125,765   (20 houses live)</t>
        </is>
      </c>
    </row>
    <row r="31" ht="16" customHeight="1">
      <c r="A31" s="4" t="inlineStr">
        <is>
          <t>·  5-year:  revenue US$1,029,803   ·   surplus +US$346,583 cumulative.</t>
        </is>
      </c>
    </row>
    <row r="32" ht="16" customHeight="1">
      <c r="A32" s="4" t="inlineStr">
        <is>
          <t>·  Positive surplus every year; no equity-requiring trough. Y1 cushion is thin (~3.5 weeks</t>
        </is>
      </c>
    </row>
    <row r="33" ht="16" customHeight="1">
      <c r="A33" s="4" t="inlineStr">
        <is>
          <t xml:space="preserve">   of opex) — hold a 2-3 month opex working-capital buffer.</t>
        </is>
      </c>
    </row>
    <row r="34" ht="16" customHeight="1">
      <c r="A34" s="4" t="inlineStr">
        <is>
          <t>·  GMV onto Paynow rails: US$894,600 → US$7,149,100 (~US$19.5M over 5 years).</t>
        </is>
      </c>
    </row>
    <row r="35" ht="16" customHeight="1">
      <c r="A35" s="4" t="inlineStr"/>
    </row>
    <row r="36" ht="16" customHeight="1">
      <c r="A36" s="5" t="inlineStr">
        <is>
          <t>WHAT DRIVES GROWTH</t>
        </is>
      </c>
    </row>
    <row r="37" ht="16" customHeight="1">
      <c r="A37" s="4" t="inlineStr"/>
    </row>
    <row r="38" ht="16" customHeight="1">
      <c r="A38" s="4" t="inlineStr">
        <is>
          <t>·  Growth rides HOUSE COUNT + TRANSPORT, NOT adoption. Adoption is held field-honest</t>
        </is>
      </c>
    </row>
    <row r="39" ht="16" customHeight="1">
      <c r="A39" s="4" t="inlineStr">
        <is>
          <t xml:space="preserve">   (~10.5-13.7%, below the ~15% mature ceiling) and is not used as a growth lever.</t>
        </is>
      </c>
    </row>
    <row r="40" ht="16" customHeight="1">
      <c r="A40" s="4" t="inlineStr">
        <is>
          <t>·  Subscription-led recurring spine; 0.75% take compounds with GMV; transport diversifies</t>
        </is>
      </c>
    </row>
    <row r="41" ht="16" customHeight="1">
      <c r="A41" s="4" t="inlineStr">
        <is>
          <t xml:space="preserve">   revenue from 1.3% (Y1) to 8.8% (Y5) of the top line.</t>
        </is>
      </c>
    </row>
    <row r="42" ht="16" customHeight="1">
      <c r="A42" s="4" t="inlineStr"/>
    </row>
    <row r="43" ht="16" customHeight="1">
      <c r="A43" s="5" t="inlineStr">
        <is>
          <t>HONEST CAVEATS</t>
        </is>
      </c>
    </row>
    <row r="44" ht="16" customHeight="1">
      <c r="A44" s="4" t="inlineStr"/>
    </row>
    <row r="45" ht="16" customHeight="1">
      <c r="A45" s="4" t="inlineStr">
        <is>
          <t>·  The single MOST AGGRESSIVE assumption is landing 3 of ~8 Tier A anchors in Year 1.</t>
        </is>
      </c>
    </row>
    <row r="46" ht="16" customHeight="1">
      <c r="A46" s="4" t="inlineStr">
        <is>
          <t>·  Y5 payroll US$198k funds a real ~9-13 person org — not a lean 4-person team.</t>
        </is>
      </c>
    </row>
    <row r="47" ht="16" customHeight="1">
      <c r="A47" s="4" t="inlineStr">
        <is>
          <t>·  Paynow is the settlement spine (Integration ID 23997; Stripe diaspora fallback). 3 of 4</t>
        </is>
      </c>
    </row>
    <row r="48" ht="16" customHeight="1">
      <c r="A48" s="4" t="inlineStr">
        <is>
          <t xml:space="preserve">   national livestock-digitization initiatives have no settlement layer — we are it.</t>
        </is>
      </c>
    </row>
    <row r="49" ht="16" customHeight="1">
      <c r="A49" s="4" t="inlineStr">
        <is>
          <t>·  Zim-specific: USD scarcity / collection friction, currency volatility. All figures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 ht="32" customHeight="1">
      <c r="A1" s="6" t="inlineStr">
        <is>
          <t>ZIMLIVESTOCK — FINANCIAL MODEL ASSUMPTIONS (v3.0, scaling B2B-SaaS platform)</t>
        </is>
      </c>
    </row>
    <row r="2">
      <c r="A2" s="7" t="inlineStr">
        <is>
          <t>Gold cells = inputs (edit these). White cells = calculations. Scaling case: ~20 houses over 5 years, field-honest adoption, small team, self-funded with a working-capital buffer.</t>
        </is>
      </c>
    </row>
    <row r="4" ht="20" customHeight="1">
      <c r="A4" s="8" t="inlineStr">
        <is>
          <t>PRICING — onboarding fee (one-off, per house)</t>
        </is>
      </c>
    </row>
    <row r="5">
      <c r="A5" s="9" t="inlineStr">
        <is>
          <t>Onboarding fee — Tier A (anchor house)</t>
        </is>
      </c>
      <c r="B5" s="10" t="n">
        <v>3500</v>
      </c>
      <c r="C5" s="11" t="inlineStr">
        <is>
          <t>Self-serve wizard onboarding; ~6-min RLS-isolated tenant</t>
        </is>
      </c>
    </row>
    <row r="6">
      <c r="A6" s="9" t="inlineStr">
        <is>
          <t>Onboarding fee — Tier B (mid-market)</t>
        </is>
      </c>
      <c r="B6" s="10" t="n">
        <v>2500</v>
      </c>
      <c r="C6" s="11" t="inlineStr"/>
    </row>
    <row r="7">
      <c r="A7" s="9" t="inlineStr">
        <is>
          <t>Onboarding fee — Tier C (smaller house)</t>
        </is>
      </c>
      <c r="B7" s="10" t="n">
        <v>1500</v>
      </c>
      <c r="C7" s="11" t="inlineStr"/>
    </row>
    <row r="8">
      <c r="A8" s="9" t="inlineStr">
        <is>
          <t>Onboarding fee — Pilot</t>
        </is>
      </c>
      <c r="B8" s="10" t="n">
        <v>1000</v>
      </c>
      <c r="C8" s="11" t="inlineStr">
        <is>
          <t>Credited toward the full tier fee on conversion (never paid twice)</t>
        </is>
      </c>
    </row>
    <row r="10" ht="20" customHeight="1">
      <c r="A10" s="8" t="inlineStr">
        <is>
          <t>PRICING — monthly platform subscription (per house)</t>
        </is>
      </c>
    </row>
    <row r="11">
      <c r="A11" s="9" t="inlineStr">
        <is>
          <t>Subscription — Tier A</t>
        </is>
      </c>
      <c r="B11" s="10" t="n">
        <v>1500</v>
      </c>
      <c r="C11" s="11" t="inlineStr">
        <is>
          <t>Recurring platform subscription</t>
        </is>
      </c>
    </row>
    <row r="12">
      <c r="A12" s="9" t="inlineStr">
        <is>
          <t>Subscription — Tier B</t>
        </is>
      </c>
      <c r="B12" s="10" t="n">
        <v>1200</v>
      </c>
      <c r="C12" s="11" t="inlineStr"/>
    </row>
    <row r="13">
      <c r="A13" s="9" t="inlineStr">
        <is>
          <t>Subscription — Tier C</t>
        </is>
      </c>
      <c r="B13" s="10" t="n">
        <v>900</v>
      </c>
      <c r="C13" s="11" t="inlineStr"/>
    </row>
    <row r="14">
      <c r="A14" s="9" t="inlineStr">
        <is>
          <t>Subscription — Pilot</t>
        </is>
      </c>
      <c r="B14" s="10" t="n">
        <v>1000</v>
      </c>
      <c r="C14" s="11" t="inlineStr">
        <is>
          <t>US$1,000/mo for 90 days, then converts to signed tier</t>
        </is>
      </c>
    </row>
    <row r="16" ht="20" customHeight="1">
      <c r="A16" s="8" t="inlineStr">
        <is>
          <t>PRICING — transaction take + transport</t>
        </is>
      </c>
    </row>
    <row r="17">
      <c r="A17" s="9" t="inlineStr">
        <is>
          <t>Transaction take %</t>
        </is>
      </c>
      <c r="B17" s="12" t="n">
        <v>0.0075</v>
      </c>
      <c r="C17" s="11" t="inlineStr">
        <is>
          <t>0.75% of settled GMV, on TOP of Paynow's fee</t>
        </is>
      </c>
    </row>
    <row r="18">
      <c r="A18" s="9" t="inlineStr">
        <is>
          <t>Transport — base booking leg</t>
        </is>
      </c>
      <c r="B18" s="10" t="n">
        <v>15</v>
      </c>
      <c r="C18" s="11" t="inlineStr">
        <is>
          <t>Buyer-facing flat fee; platform keeps only this leg</t>
        </is>
      </c>
    </row>
    <row r="19">
      <c r="A19" s="9" t="inlineStr">
        <is>
          <t>Transport — per km (transporter keeps)</t>
        </is>
      </c>
      <c r="B19" s="10" t="n">
        <v>0.35</v>
      </c>
      <c r="C19" s="11" t="inlineStr">
        <is>
          <t>Distance haul priced + kept by the transporter</t>
        </is>
      </c>
    </row>
    <row r="20">
      <c r="A20" s="9" t="inlineStr">
        <is>
          <t>Transport — quote cap</t>
        </is>
      </c>
      <c r="B20" s="10" t="n">
        <v>250</v>
      </c>
      <c r="C20" s="11" t="inlineStr">
        <is>
          <t>Caps the buyer quote</t>
        </is>
      </c>
    </row>
    <row r="21">
      <c r="A21" s="9" t="inlineStr">
        <is>
          <t>Transport — platform NET per booking</t>
        </is>
      </c>
      <c r="B21" s="10" t="n">
        <v>12</v>
      </c>
      <c r="C21" s="11" t="inlineStr">
        <is>
          <t>US$15 booking leg less ~US$3 processing</t>
        </is>
      </c>
    </row>
    <row r="23" ht="20" customHeight="1">
      <c r="A23" s="8" t="inlineStr">
        <is>
          <t>ADOPTION &amp; DRIVERS — held field-honest (NOT a growth lever)</t>
        </is>
      </c>
    </row>
    <row r="24">
      <c r="A24" s="9" t="inlineStr">
        <is>
          <t>Blended digital adoption — Year 1</t>
        </is>
      </c>
      <c r="B24" s="13" t="n">
        <v>0.105</v>
      </c>
      <c r="C24" s="11" t="inlineStr">
        <is>
          <t>Below the ~15% mature ceiling for a manual cash market</t>
        </is>
      </c>
    </row>
    <row r="25">
      <c r="A25" s="9" t="inlineStr">
        <is>
          <t>Blended digital adoption — Year 5</t>
        </is>
      </c>
      <c r="B25" s="13" t="n">
        <v>0.137</v>
      </c>
      <c r="C25" s="11" t="inlineStr">
        <is>
          <t>Still field-honest at Y5</t>
        </is>
      </c>
    </row>
    <row r="26">
      <c r="A26" s="9" t="inlineStr">
        <is>
          <t>Avg digital ticket</t>
        </is>
      </c>
      <c r="B26" s="10" t="n">
        <v>650</v>
      </c>
      <c r="C26" s="11" t="inlineStr">
        <is>
          <t>Per settled digital transaction</t>
        </is>
      </c>
    </row>
    <row r="27">
      <c r="A27" s="9" t="inlineStr">
        <is>
          <t>Transport attach-rate — Year 1</t>
        </is>
      </c>
      <c r="B27" s="13" t="n">
        <v>0.05</v>
      </c>
      <c r="C27" s="11" t="inlineStr">
        <is>
          <t>Ramps 5% -&gt; 24% over Y1..Y5</t>
        </is>
      </c>
    </row>
    <row r="28">
      <c r="A28" s="9" t="inlineStr">
        <is>
          <t>Transport attach-rate — Year 5</t>
        </is>
      </c>
      <c r="B28" s="13" t="n">
        <v>0.24</v>
      </c>
      <c r="C28" s="11" t="inlineStr">
        <is>
          <t>Consumer line diversifies revenue over time</t>
        </is>
      </c>
    </row>
    <row r="30" ht="20" customHeight="1">
      <c r="A30" s="8" t="inlineStr">
        <is>
          <t>SCALE &amp; RAMP — houses live at year-end</t>
        </is>
      </c>
    </row>
    <row r="31">
      <c r="A31" s="9" t="inlineStr">
        <is>
          <t>Houses live — Year 1</t>
        </is>
      </c>
      <c r="B31" s="14" t="n">
        <v>5</v>
      </c>
      <c r="C31" s="11" t="inlineStr">
        <is>
          <t>Anchors-first; ~1/3 of the ~40-60 house market by Y5</t>
        </is>
      </c>
    </row>
    <row r="32">
      <c r="A32" s="9" t="inlineStr">
        <is>
          <t>Houses live — Year 2</t>
        </is>
      </c>
      <c r="B32" s="14" t="n">
        <v>8</v>
      </c>
      <c r="C32" s="11" t="inlineStr"/>
    </row>
    <row r="33">
      <c r="A33" s="9" t="inlineStr">
        <is>
          <t>Houses live — Year 3</t>
        </is>
      </c>
      <c r="B33" s="14" t="n">
        <v>12</v>
      </c>
      <c r="C33" s="11" t="inlineStr"/>
    </row>
    <row r="34">
      <c r="A34" s="9" t="inlineStr">
        <is>
          <t>Houses live — Year 4</t>
        </is>
      </c>
      <c r="B34" s="14" t="n">
        <v>16</v>
      </c>
      <c r="C34" s="11" t="inlineStr"/>
    </row>
    <row r="35">
      <c r="A35" s="9" t="inlineStr">
        <is>
          <t>Houses live — Year 5</t>
        </is>
      </c>
      <c r="B35" s="14" t="n">
        <v>20</v>
      </c>
      <c r="C35" s="11" t="inlineStr">
        <is>
          <t>Subscription uses a half-year go-live convention</t>
        </is>
      </c>
    </row>
    <row r="37" ht="20" customHeight="1">
      <c r="A37" s="8" t="inlineStr">
        <is>
          <t>COSTS — small team, self-funded with a working-capital buffer</t>
        </is>
      </c>
    </row>
    <row r="38">
      <c r="A38" s="9" t="inlineStr">
        <is>
          <t>Payroll — Year 1</t>
        </is>
      </c>
      <c r="B38" s="10" t="n">
        <v>36000</v>
      </c>
      <c r="C38" s="11" t="inlineStr">
        <is>
          <t>Founder salary sits inside payroll</t>
        </is>
      </c>
    </row>
    <row r="39">
      <c r="A39" s="9" t="inlineStr">
        <is>
          <t>Payroll — Year 5</t>
        </is>
      </c>
      <c r="B39" s="10" t="n">
        <v>198000</v>
      </c>
      <c r="C39" s="11" t="inlineStr">
        <is>
          <t>Funds a real ~9-13 person org (not a lean 4-person team)</t>
        </is>
      </c>
    </row>
    <row r="40">
      <c r="A40" s="9" t="inlineStr">
        <is>
          <t>Infrastructure — Year 1</t>
        </is>
      </c>
      <c r="B40" s="10" t="n">
        <v>3600</v>
      </c>
      <c r="C40" s="11" t="inlineStr">
        <is>
          <t>Supabase + Vercel + Cloudflare + channels</t>
        </is>
      </c>
    </row>
    <row r="41">
      <c r="A41" s="9" t="inlineStr">
        <is>
          <t>Other (BD / travel / mktg) — Year 1</t>
        </is>
      </c>
      <c r="B41" s="10" t="n">
        <v>9000</v>
      </c>
      <c r="C41" s="11" t="inlineStr">
        <is>
          <t>Business development, travel, marketing</t>
        </is>
      </c>
    </row>
  </sheetData>
  <mergeCells count="35">
    <mergeCell ref="A30:E30"/>
    <mergeCell ref="C41:E41"/>
    <mergeCell ref="C31:E31"/>
    <mergeCell ref="C40:E40"/>
    <mergeCell ref="A1:E1"/>
    <mergeCell ref="C21:E21"/>
    <mergeCell ref="C12:E12"/>
    <mergeCell ref="C11:E11"/>
    <mergeCell ref="C27:E27"/>
    <mergeCell ref="A16:E16"/>
    <mergeCell ref="C39:E39"/>
    <mergeCell ref="C8:E8"/>
    <mergeCell ref="C17:E17"/>
    <mergeCell ref="A37:E37"/>
    <mergeCell ref="C7:E7"/>
    <mergeCell ref="C32:E32"/>
    <mergeCell ref="C38:E38"/>
    <mergeCell ref="C28:E28"/>
    <mergeCell ref="C13:E13"/>
    <mergeCell ref="A2:E2"/>
    <mergeCell ref="C19:E19"/>
    <mergeCell ref="C18:E18"/>
    <mergeCell ref="A23:E23"/>
    <mergeCell ref="C34:E34"/>
    <mergeCell ref="C6:E6"/>
    <mergeCell ref="C24:E24"/>
    <mergeCell ref="C33:E33"/>
    <mergeCell ref="A4:E4"/>
    <mergeCell ref="C14:E14"/>
    <mergeCell ref="C5:E5"/>
    <mergeCell ref="A10:E10"/>
    <mergeCell ref="C26:E26"/>
    <mergeCell ref="C35:E35"/>
    <mergeCell ref="C20:E20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6" t="inlineStr">
        <is>
          <t>HOUSE RAMP — ~20 houses over five years (5 → 8 → 12 → 16 → 20 live, anchors-first)</t>
        </is>
      </c>
    </row>
    <row r="3" ht="24" customHeight="1">
      <c r="A3" s="15" t="inlineStr"/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</row>
    <row r="4">
      <c r="A4" s="16" t="inlineStr">
        <is>
          <t>Houses live (EOY)</t>
        </is>
      </c>
      <c r="B4" s="17" t="n">
        <v>5</v>
      </c>
      <c r="C4" s="17" t="n">
        <v>8</v>
      </c>
      <c r="D4" s="17" t="n">
        <v>12</v>
      </c>
      <c r="E4" s="17" t="n">
        <v>16</v>
      </c>
      <c r="F4" s="17" t="n">
        <v>20</v>
      </c>
    </row>
    <row r="5">
      <c r="A5" s="9" t="inlineStr">
        <is>
          <t xml:space="preserve">  Tier A onboarded (year)</t>
        </is>
      </c>
      <c r="B5" s="18" t="n">
        <v>3</v>
      </c>
      <c r="C5" s="18" t="n">
        <v>1</v>
      </c>
      <c r="D5" s="18" t="n">
        <v>1</v>
      </c>
      <c r="E5" s="18" t="n">
        <v>1</v>
      </c>
      <c r="F5" s="18" t="n">
        <v>1</v>
      </c>
    </row>
    <row r="6">
      <c r="A6" s="9" t="inlineStr">
        <is>
          <t xml:space="preserve">  Tier B onboarded (year)</t>
        </is>
      </c>
      <c r="B6" s="18" t="n">
        <v>1</v>
      </c>
      <c r="C6" s="18" t="n">
        <v>1</v>
      </c>
      <c r="D6" s="18" t="n">
        <v>2</v>
      </c>
      <c r="E6" s="18" t="n">
        <v>2</v>
      </c>
      <c r="F6" s="18" t="n">
        <v>2</v>
      </c>
    </row>
    <row r="7">
      <c r="A7" s="9" t="inlineStr">
        <is>
          <t xml:space="preserve">  Tier C onboarded (year)</t>
        </is>
      </c>
      <c r="B7" s="18" t="n">
        <v>1</v>
      </c>
      <c r="C7" s="18" t="n">
        <v>1</v>
      </c>
      <c r="D7" s="18" t="n">
        <v>1</v>
      </c>
      <c r="E7" s="18" t="n">
        <v>1</v>
      </c>
      <c r="F7" s="18" t="n">
        <v>1</v>
      </c>
    </row>
    <row r="8">
      <c r="A8" s="16" t="inlineStr">
        <is>
          <t>Cumulative Tier A</t>
        </is>
      </c>
      <c r="B8" s="18" t="n">
        <v>3</v>
      </c>
      <c r="C8" s="18" t="n">
        <v>4</v>
      </c>
      <c r="D8" s="18" t="n">
        <v>5</v>
      </c>
      <c r="E8" s="18" t="n">
        <v>6</v>
      </c>
      <c r="F8" s="18" t="n">
        <v>7</v>
      </c>
    </row>
    <row r="9">
      <c r="A9" s="16" t="inlineStr">
        <is>
          <t>Cumulative Tier B</t>
        </is>
      </c>
      <c r="B9" s="18" t="n">
        <v>1</v>
      </c>
      <c r="C9" s="18" t="n">
        <v>2</v>
      </c>
      <c r="D9" s="18" t="n">
        <v>4</v>
      </c>
      <c r="E9" s="18" t="n">
        <v>6</v>
      </c>
      <c r="F9" s="18" t="n">
        <v>8</v>
      </c>
    </row>
    <row r="10">
      <c r="A10" s="16" t="inlineStr">
        <is>
          <t>Cumulative Tier C</t>
        </is>
      </c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</row>
    <row r="12">
      <c r="A12" s="16" t="inlineStr">
        <is>
          <t>Blended digital adoption</t>
        </is>
      </c>
      <c r="B12" s="19" t="n">
        <v>0.105</v>
      </c>
      <c r="C12" s="19" t="n">
        <v>0.115</v>
      </c>
      <c r="D12" s="19" t="n">
        <v>0.123</v>
      </c>
      <c r="E12" s="19" t="n">
        <v>0.13</v>
      </c>
      <c r="F12" s="19" t="n">
        <v>0.137</v>
      </c>
    </row>
    <row r="13">
      <c r="A13" s="16" t="inlineStr">
        <is>
          <t>Digital transactions</t>
        </is>
      </c>
      <c r="B13" s="18" t="n">
        <v>1376</v>
      </c>
      <c r="C13" s="18" t="n">
        <v>3790</v>
      </c>
      <c r="D13" s="18" t="n">
        <v>5667</v>
      </c>
      <c r="E13" s="18" t="n">
        <v>8170</v>
      </c>
      <c r="F13" s="18" t="n">
        <v>10999</v>
      </c>
    </row>
    <row r="14">
      <c r="A14" s="16" t="inlineStr">
        <is>
          <t>Transport attach-rate</t>
        </is>
      </c>
      <c r="B14" s="19" t="n">
        <v>0.05</v>
      </c>
      <c r="C14" s="19" t="n">
        <v>0.09</v>
      </c>
      <c r="D14" s="19" t="n">
        <v>0.14</v>
      </c>
      <c r="E14" s="19" t="n">
        <v>0.19</v>
      </c>
      <c r="F14" s="19" t="n">
        <v>0.24</v>
      </c>
    </row>
    <row r="16">
      <c r="A16" s="16" t="inlineStr">
        <is>
          <t>GMV onto Paynow rails</t>
        </is>
      </c>
      <c r="B16" s="20" t="n">
        <v>894600</v>
      </c>
      <c r="C16" s="20" t="n">
        <v>2463200</v>
      </c>
      <c r="D16" s="20" t="n">
        <v>3683300</v>
      </c>
      <c r="E16" s="20" t="n">
        <v>5310800</v>
      </c>
      <c r="F16" s="20" t="n">
        <v>7149100</v>
      </c>
    </row>
    <row r="18">
      <c r="A18" s="21" t="inlineStr">
        <is>
          <t>Cumulative tier mix runs 3A/1B/1C (Y1) → 7A/8B/5C (Y5). Subscription uses a half-year go-live convention: the current-year cohort is billed 6 months, prior cohorts 12. Avg digital ticket US$650. Adoption stays field-honest (below the ~15% mature ceiling) — it is NOT used as a growth lever; growth rides house count + transport.</t>
        </is>
      </c>
    </row>
    <row r="19"/>
    <row r="20"/>
  </sheetData>
  <mergeCells count="2">
    <mergeCell ref="A1:G1"/>
    <mergeCell ref="A18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0" customHeight="1">
      <c r="A1" s="6" t="inlineStr">
        <is>
          <t>ANNUAL REVENUE — 5-year projection across four lines</t>
        </is>
      </c>
    </row>
    <row r="3" ht="24" customHeight="1">
      <c r="A3" s="15" t="inlineStr">
        <is>
          <t>Revenue line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  <c r="G3" s="15" t="inlineStr">
        <is>
          <t>5-yr total</t>
        </is>
      </c>
    </row>
    <row r="4">
      <c r="A4" s="9" t="inlineStr">
        <is>
          <t>Onboarding (one-off)</t>
        </is>
      </c>
      <c r="B4" s="22" t="n">
        <v>14500</v>
      </c>
      <c r="C4" s="22" t="n">
        <v>7500</v>
      </c>
      <c r="D4" s="22" t="n">
        <v>10000</v>
      </c>
      <c r="E4" s="22" t="n">
        <v>10000</v>
      </c>
      <c r="F4" s="22" t="n">
        <v>10000</v>
      </c>
      <c r="G4" s="22">
        <f>SUM(B4:F4)</f>
        <v/>
      </c>
    </row>
    <row r="5">
      <c r="A5" s="9" t="inlineStr">
        <is>
          <t>Platform subscription</t>
        </is>
      </c>
      <c r="B5" s="22" t="n">
        <v>39600</v>
      </c>
      <c r="C5" s="22" t="n">
        <v>100800</v>
      </c>
      <c r="D5" s="22" t="n">
        <v>151200</v>
      </c>
      <c r="E5" s="22" t="n">
        <v>208800</v>
      </c>
      <c r="F5" s="22" t="n">
        <v>266400</v>
      </c>
      <c r="G5" s="22">
        <f>SUM(B5:F5)</f>
        <v/>
      </c>
    </row>
    <row r="6">
      <c r="A6" s="9" t="inlineStr">
        <is>
          <t>Transaction take (0.75%)</t>
        </is>
      </c>
      <c r="B6" s="22" t="n">
        <v>6710</v>
      </c>
      <c r="C6" s="22" t="n">
        <v>18474</v>
      </c>
      <c r="D6" s="22" t="n">
        <v>27625</v>
      </c>
      <c r="E6" s="22" t="n">
        <v>39831</v>
      </c>
      <c r="F6" s="22" t="n">
        <v>53618</v>
      </c>
      <c r="G6" s="22">
        <f>SUM(B6:F6)</f>
        <v/>
      </c>
    </row>
    <row r="7">
      <c r="A7" s="9" t="inlineStr">
        <is>
          <t>Transport (consumer line)</t>
        </is>
      </c>
      <c r="B7" s="22" t="n">
        <v>826</v>
      </c>
      <c r="C7" s="22" t="n">
        <v>4093</v>
      </c>
      <c r="D7" s="22" t="n">
        <v>9521</v>
      </c>
      <c r="E7" s="22" t="n">
        <v>18628</v>
      </c>
      <c r="F7" s="22" t="n">
        <v>31677</v>
      </c>
      <c r="G7" s="22">
        <f>SUM(B7:F7)</f>
        <v/>
      </c>
    </row>
    <row r="8">
      <c r="A8" s="23" t="inlineStr">
        <is>
          <t>REVENUE TOTAL</t>
        </is>
      </c>
      <c r="B8" s="24">
        <f>SUM(B4:B7)</f>
        <v/>
      </c>
      <c r="C8" s="24">
        <f>SUM(C4:C7)</f>
        <v/>
      </c>
      <c r="D8" s="24">
        <f>SUM(D4:D7)</f>
        <v/>
      </c>
      <c r="E8" s="24">
        <f>SUM(E4:E7)</f>
        <v/>
      </c>
      <c r="F8" s="24">
        <f>SUM(F4:F7)</f>
        <v/>
      </c>
      <c r="G8" s="24">
        <f>SUM(B8:F8)</f>
        <v/>
      </c>
    </row>
    <row r="10">
      <c r="A10" s="25" t="inlineStr">
        <is>
          <t>REVENUE MIX</t>
        </is>
      </c>
    </row>
    <row r="11">
      <c r="A11" s="9" t="inlineStr">
        <is>
          <t>Auction-house revenue %</t>
        </is>
      </c>
      <c r="B11" s="19" t="n">
        <v>0.987</v>
      </c>
      <c r="C11" s="19" t="n">
        <v>0.969</v>
      </c>
      <c r="D11" s="19" t="n">
        <v>0.952</v>
      </c>
      <c r="E11" s="19" t="n">
        <v>0.9330000000000001</v>
      </c>
      <c r="F11" s="19" t="n">
        <v>0.912</v>
      </c>
    </row>
    <row r="12">
      <c r="A12" s="9" t="inlineStr">
        <is>
          <t>Consumer-transport revenue %</t>
        </is>
      </c>
      <c r="B12" s="19" t="n">
        <v>0.013</v>
      </c>
      <c r="C12" s="19" t="n">
        <v>0.031</v>
      </c>
      <c r="D12" s="19" t="n">
        <v>0.048</v>
      </c>
      <c r="E12" s="19" t="n">
        <v>0.067</v>
      </c>
      <c r="F12" s="19" t="n">
        <v>0.08799999999999999</v>
      </c>
    </row>
    <row r="13">
      <c r="A13" s="26" t="inlineStr">
        <is>
          <t>5-yr revenue total: US$1,029,803  ·  onboarding US$52,000 · subscription US$766,800 · take US$146,258 · transport US$64,745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0" customHeight="1">
      <c r="A1" s="6" t="inlineStr">
        <is>
          <t>ANNUAL COSTS — small team + infrastructure (founder salary inside payroll)</t>
        </is>
      </c>
    </row>
    <row r="3" ht="24" customHeight="1">
      <c r="A3" s="15" t="inlineStr">
        <is>
          <t>Cost line</t>
        </is>
      </c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  <c r="G3" s="15" t="inlineStr">
        <is>
          <t>5-yr total</t>
        </is>
      </c>
    </row>
    <row r="4">
      <c r="A4" s="9" t="inlineStr">
        <is>
          <t>Infrastructure</t>
        </is>
      </c>
      <c r="B4" s="22" t="n">
        <v>3600</v>
      </c>
      <c r="C4" s="22" t="n">
        <v>3960</v>
      </c>
      <c r="D4" s="22" t="n">
        <v>4440</v>
      </c>
      <c r="E4" s="22" t="n">
        <v>4920</v>
      </c>
      <c r="F4" s="22" t="n">
        <v>5400</v>
      </c>
      <c r="G4" s="22">
        <f>SUM(B4:F4)</f>
        <v/>
      </c>
    </row>
    <row r="5">
      <c r="A5" s="9" t="inlineStr">
        <is>
          <t>Payroll (incl. founder)</t>
        </is>
      </c>
      <c r="B5" s="22" t="n">
        <v>36000</v>
      </c>
      <c r="C5" s="22" t="n">
        <v>66000</v>
      </c>
      <c r="D5" s="22" t="n">
        <v>108000</v>
      </c>
      <c r="E5" s="22" t="n">
        <v>150000</v>
      </c>
      <c r="F5" s="22" t="n">
        <v>198000</v>
      </c>
      <c r="G5" s="22">
        <f>SUM(B5:F5)</f>
        <v/>
      </c>
    </row>
    <row r="6">
      <c r="A6" s="9" t="inlineStr">
        <is>
          <t>Pass-through (Paynow)</t>
        </is>
      </c>
      <c r="B6" s="22" t="n">
        <v>241</v>
      </c>
      <c r="C6" s="22" t="n">
        <v>314</v>
      </c>
      <c r="D6" s="22" t="n">
        <v>370</v>
      </c>
      <c r="E6" s="22" t="n">
        <v>445</v>
      </c>
      <c r="F6" s="22" t="n">
        <v>530</v>
      </c>
      <c r="G6" s="22">
        <f>SUM(B6:F6)</f>
        <v/>
      </c>
    </row>
    <row r="7">
      <c r="A7" s="9" t="inlineStr">
        <is>
          <t>Other (BD / travel / mktg)</t>
        </is>
      </c>
      <c r="B7" s="22" t="n">
        <v>9000</v>
      </c>
      <c r="C7" s="22" t="n">
        <v>14000</v>
      </c>
      <c r="D7" s="22" t="n">
        <v>20000</v>
      </c>
      <c r="E7" s="22" t="n">
        <v>26000</v>
      </c>
      <c r="F7" s="22" t="n">
        <v>32000</v>
      </c>
      <c r="G7" s="22">
        <f>SUM(B7:F7)</f>
        <v/>
      </c>
    </row>
    <row r="8">
      <c r="A8" s="23" t="inlineStr">
        <is>
          <t>COSTS TOTAL</t>
        </is>
      </c>
      <c r="B8" s="24">
        <f>SUM(B4:B7)</f>
        <v/>
      </c>
      <c r="C8" s="24">
        <f>SUM(C4:C7)</f>
        <v/>
      </c>
      <c r="D8" s="24">
        <f>SUM(D4:D7)</f>
        <v/>
      </c>
      <c r="E8" s="24">
        <f>SUM(E4:E7)</f>
        <v/>
      </c>
      <c r="F8" s="24">
        <f>SUM(F4:F7)</f>
        <v/>
      </c>
      <c r="G8" s="24">
        <f>SUM(B8:F8)</f>
        <v/>
      </c>
    </row>
    <row r="10">
      <c r="A10" s="26" t="inlineStr">
        <is>
          <t>5-yr costs total: US$683,220  ·  Y5 payroll US$198,000 funds a real ~9-13 person org (NOT a lean 4-person team).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0" customHeight="1">
      <c r="A1" s="6" t="inlineStr">
        <is>
          <t>P&amp;L SUMMARY — year by year (v3.0 scaling platform)</t>
        </is>
      </c>
    </row>
    <row r="3" ht="24" customHeight="1">
      <c r="A3" s="15" t="inlineStr"/>
      <c r="B3" s="15" t="inlineStr">
        <is>
          <t>Year 1</t>
        </is>
      </c>
      <c r="C3" s="15" t="inlineStr">
        <is>
          <t>Year 2</t>
        </is>
      </c>
      <c r="D3" s="15" t="inlineStr">
        <is>
          <t>Year 3</t>
        </is>
      </c>
      <c r="E3" s="15" t="inlineStr">
        <is>
          <t>Year 4</t>
        </is>
      </c>
      <c r="F3" s="15" t="inlineStr">
        <is>
          <t>Year 5</t>
        </is>
      </c>
      <c r="G3" s="15" t="inlineStr">
        <is>
          <t>5-yr total</t>
        </is>
      </c>
    </row>
    <row r="4">
      <c r="A4" s="16" t="inlineStr">
        <is>
          <t>Revenue</t>
        </is>
      </c>
      <c r="B4" s="22">
        <f>'3. Revenue'!B8</f>
        <v/>
      </c>
      <c r="C4" s="22">
        <f>'3. Revenue'!C8</f>
        <v/>
      </c>
      <c r="D4" s="22">
        <f>'3. Revenue'!D8</f>
        <v/>
      </c>
      <c r="E4" s="22">
        <f>'3. Revenue'!E8</f>
        <v/>
      </c>
      <c r="F4" s="22">
        <f>'3. Revenue'!F8</f>
        <v/>
      </c>
      <c r="G4" s="20">
        <f>SUM(B4:F4)</f>
        <v/>
      </c>
    </row>
    <row r="5">
      <c r="A5" s="16" t="inlineStr">
        <is>
          <t>Costs</t>
        </is>
      </c>
      <c r="B5" s="22">
        <f>-'4. Costs'!B8</f>
        <v/>
      </c>
      <c r="C5" s="22">
        <f>-'4. Costs'!C8</f>
        <v/>
      </c>
      <c r="D5" s="22">
        <f>-'4. Costs'!D8</f>
        <v/>
      </c>
      <c r="E5" s="22">
        <f>-'4. Costs'!E8</f>
        <v/>
      </c>
      <c r="F5" s="22">
        <f>-'4. Costs'!F8</f>
        <v/>
      </c>
      <c r="G5" s="20">
        <f>SUM(B5:F5)</f>
        <v/>
      </c>
    </row>
    <row r="6">
      <c r="A6" s="23" t="inlineStr">
        <is>
          <t>SURPLUS</t>
        </is>
      </c>
      <c r="B6" s="27">
        <f>B4+B5</f>
        <v/>
      </c>
      <c r="C6" s="27">
        <f>C4+C5</f>
        <v/>
      </c>
      <c r="D6" s="27">
        <f>D4+D5</f>
        <v/>
      </c>
      <c r="E6" s="27">
        <f>E4+E5</f>
        <v/>
      </c>
      <c r="F6" s="27">
        <f>F4+F5</f>
        <v/>
      </c>
      <c r="G6" s="27">
        <f>SUM(B6:F6)</f>
        <v/>
      </c>
    </row>
    <row r="7">
      <c r="A7" s="16" t="inlineStr">
        <is>
          <t>Cumulative surplus</t>
        </is>
      </c>
      <c r="B7" s="22">
        <f>B6</f>
        <v/>
      </c>
      <c r="C7" s="22">
        <f>C6+B7</f>
        <v/>
      </c>
      <c r="D7" s="22">
        <f>D6+C7</f>
        <v/>
      </c>
      <c r="E7" s="22">
        <f>E6+D7</f>
        <v/>
      </c>
      <c r="F7" s="22">
        <f>F6+E7</f>
        <v/>
      </c>
    </row>
    <row r="8">
      <c r="A8" s="16" t="inlineStr">
        <is>
          <t>GMV onto Paynow rails</t>
        </is>
      </c>
      <c r="B8" s="20" t="n">
        <v>894600</v>
      </c>
      <c r="C8" s="20" t="n">
        <v>2463200</v>
      </c>
      <c r="D8" s="20" t="n">
        <v>3683300</v>
      </c>
      <c r="E8" s="20" t="n">
        <v>5310800</v>
      </c>
      <c r="F8" s="20" t="n">
        <v>7149100</v>
      </c>
      <c r="G8" s="20">
        <f>SUM(B8:F8)</f>
        <v/>
      </c>
    </row>
    <row r="10">
      <c r="A10" s="28" t="inlineStr">
        <is>
          <t>DRIVERS</t>
        </is>
      </c>
    </row>
    <row r="11">
      <c r="B11" s="15" t="inlineStr">
        <is>
          <t>Year 1</t>
        </is>
      </c>
      <c r="C11" s="15" t="inlineStr">
        <is>
          <t>Year 2</t>
        </is>
      </c>
      <c r="D11" s="15" t="inlineStr">
        <is>
          <t>Year 3</t>
        </is>
      </c>
      <c r="E11" s="15" t="inlineStr">
        <is>
          <t>Year 4</t>
        </is>
      </c>
      <c r="F11" s="15" t="inlineStr">
        <is>
          <t>Year 5</t>
        </is>
      </c>
    </row>
    <row r="12">
      <c r="A12" s="9" t="inlineStr">
        <is>
          <t>Houses live (EOY)</t>
        </is>
      </c>
      <c r="B12" s="18" t="n">
        <v>5</v>
      </c>
      <c r="C12" s="18" t="n">
        <v>8</v>
      </c>
      <c r="D12" s="18" t="n">
        <v>12</v>
      </c>
      <c r="E12" s="18" t="n">
        <v>16</v>
      </c>
      <c r="F12" s="18" t="n">
        <v>20</v>
      </c>
    </row>
    <row r="13">
      <c r="A13" s="9" t="inlineStr">
        <is>
          <t>Blended adoption</t>
        </is>
      </c>
      <c r="B13" s="19" t="n">
        <v>0.105</v>
      </c>
      <c r="C13" s="19" t="n">
        <v>0.115</v>
      </c>
      <c r="D13" s="19" t="n">
        <v>0.123</v>
      </c>
      <c r="E13" s="19" t="n">
        <v>0.13</v>
      </c>
      <c r="F13" s="19" t="n">
        <v>0.137</v>
      </c>
    </row>
    <row r="14">
      <c r="A14" s="9" t="inlineStr">
        <is>
          <t>Digital transactions</t>
        </is>
      </c>
      <c r="B14" s="18" t="n">
        <v>1376</v>
      </c>
      <c r="C14" s="18" t="n">
        <v>3790</v>
      </c>
      <c r="D14" s="18" t="n">
        <v>5667</v>
      </c>
      <c r="E14" s="18" t="n">
        <v>8170</v>
      </c>
      <c r="F14" s="18" t="n">
        <v>10999</v>
      </c>
    </row>
    <row r="15">
      <c r="A15" s="9" t="inlineStr">
        <is>
          <t>Transport attach-rate</t>
        </is>
      </c>
      <c r="B15" s="19" t="n">
        <v>0.05</v>
      </c>
      <c r="C15" s="19" t="n">
        <v>0.09</v>
      </c>
      <c r="D15" s="19" t="n">
        <v>0.14</v>
      </c>
      <c r="E15" s="19" t="n">
        <v>0.19</v>
      </c>
      <c r="F15" s="19" t="n">
        <v>0.24</v>
      </c>
    </row>
    <row r="16">
      <c r="A16" s="9" t="inlineStr">
        <is>
          <t>Auction-house revenue %</t>
        </is>
      </c>
      <c r="B16" s="19" t="n">
        <v>0.987</v>
      </c>
      <c r="C16" s="19" t="n">
        <v>0.969</v>
      </c>
      <c r="D16" s="19" t="n">
        <v>0.952</v>
      </c>
      <c r="E16" s="19" t="n">
        <v>0.9330000000000001</v>
      </c>
      <c r="F16" s="19" t="n">
        <v>0.912</v>
      </c>
    </row>
    <row r="17">
      <c r="A17" s="9" t="inlineStr">
        <is>
          <t>Consumer-transport revenue %</t>
        </is>
      </c>
      <c r="B17" s="19" t="n">
        <v>0.013</v>
      </c>
      <c r="C17" s="19" t="n">
        <v>0.031</v>
      </c>
      <c r="D17" s="19" t="n">
        <v>0.048</v>
      </c>
      <c r="E17" s="19" t="n">
        <v>0.067</v>
      </c>
      <c r="F17" s="19" t="n">
        <v>0.08799999999999999</v>
      </c>
    </row>
    <row r="19">
      <c r="A19" s="25" t="inlineStr">
        <is>
          <t>NOTES — read before quoting any number</t>
        </is>
      </c>
    </row>
    <row r="20" ht="32" customHeight="1">
      <c r="A20" s="29" t="inlineStr">
        <is>
          <t>•  SCALING B2B-SaaS PLATFORM. ~20 houses over 5 years (5 → 8 → 12 → 16 → 20 live, anchors-first), about 1/3 of the ~40-60 house market. A self-serve onboarding wizard (/operators → admin approval → ~6-min RLS-isolated tenant, no SQL) makes scale low-touch.</t>
        </is>
      </c>
    </row>
    <row r="21" ht="32" customHeight="1">
      <c r="A21" s="29" t="inlineStr">
        <is>
          <t>•  Five live channels: web/PWA, WhatsApp, USSD, BillPay-as-biller, Facebook Messenger. B2B today (auction houses), B2B2C tomorrow (consumer transport diversifies revenue: 1.3% of revenue in Y1 → 8.8% in Y5).</t>
        </is>
      </c>
    </row>
    <row r="22" ht="32" customHeight="1">
      <c r="A22" s="29" t="inlineStr">
        <is>
          <t>•  Positive surplus every year: +US$12,795 (Y1) → +US$125,765 (Y5); +US$346,583 cumulative over 5 years. No equity-requiring trough. The Y1 cushion is thin (~3.5 weeks of opex), so hold a 2-3 month opex working-capital buffer.</t>
        </is>
      </c>
    </row>
    <row r="23" ht="32" customHeight="1">
      <c r="A23" s="29" t="inlineStr">
        <is>
          <t>•  Small team, largely SELF-FUNDED (NOT external equity). Y5 payroll US$198,000 funds a real ~9-13 person org — NOT a 'lean 4-person team'. The founder draws a salary that sits inside payroll.</t>
        </is>
      </c>
    </row>
    <row r="24" ht="32" customHeight="1">
      <c r="A24" s="29" t="inlineStr">
        <is>
          <t>•  Subscription-led: Y5 subscription US$266,400 of US$361,695 total. Recurring spine is reliable; the 0.75% transaction take compounds with GMV; transport is the consumer diversification line.</t>
        </is>
      </c>
    </row>
    <row r="25" ht="32" customHeight="1">
      <c r="A25" s="29" t="inlineStr">
        <is>
          <t>•  GMV routed onto Paynow rails: US$894,600 (Y1) → US$7,149,100 (Y5); ~US$19.5M over 5 years. Paynow is the settlement spine (Integration ID 23997; Stripe diaspora fallback). 3 of 4 national livestock-digitization initiatives have NO settlement layer — we are it.</t>
        </is>
      </c>
    </row>
    <row r="26" ht="32" customHeight="1">
      <c r="A26" s="29" t="inlineStr">
        <is>
          <t>•  Field-honest caveats: digital adoption stays ~10.5-13.7% (below the ~15% mature ceiling) and is NOT used as a growth lever — growth rides house count + transport. The single MOST AGGRESSIVE assumption is landing 3 of ~8 Tier A anchors in Year 1. All figures USD.</t>
        </is>
      </c>
    </row>
  </sheetData>
  <mergeCells count="10">
    <mergeCell ref="A1:G1"/>
    <mergeCell ref="A21:G21"/>
    <mergeCell ref="A22:G22"/>
    <mergeCell ref="A20:G20"/>
    <mergeCell ref="A24:G24"/>
    <mergeCell ref="A26:G26"/>
    <mergeCell ref="A25:G25"/>
    <mergeCell ref="A19:G19"/>
    <mergeCell ref="A10:G10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2026-06-04T14:32:28Z</dcterms:created>
  <dcterms:modified xsi:type="dcterms:W3CDTF">2026-06-04T14:32:28Z</dcterms:modified>
</cp:coreProperties>
</file>