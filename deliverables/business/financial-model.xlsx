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README" sheetId="1" state="visible" r:id="rId1"/>
    <sheet name="1. Assumptions" sheetId="2" state="visible" r:id="rId2"/>
    <sheet name="2. Customer ramp" sheetId="3" state="visible" r:id="rId3"/>
    <sheet name="3. Revenue" sheetId="4" state="visible" r:id="rId4"/>
    <sheet name="4. Costs" sheetId="5" state="visible" r:id="rId5"/>
    <sheet name="5. P&amp;L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[Red](&quot;$&quot;#,##0)"/>
    <numFmt numFmtId="165" formatCode="&quot;$&quot;#,##0&quot; /mo&quot;"/>
  </numFmts>
  <fonts count="16">
    <font>
      <name val="Calibri"/>
      <family val="2"/>
      <color theme="1"/>
      <sz val="11"/>
      <scheme val="minor"/>
    </font>
    <font>
      <name val="Georgia"/>
      <b val="1"/>
      <color rgb="00FFFFFF"/>
      <sz val="13"/>
    </font>
    <font>
      <name val="Calibri"/>
      <i val="1"/>
      <color rgb="007A4F47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00000"/>
      <sz val="10"/>
    </font>
    <font>
      <name val="Calibri"/>
      <i val="1"/>
      <color rgb="007A4F47"/>
      <sz val="9"/>
    </font>
    <font>
      <name val="Calibri"/>
      <b val="1"/>
      <color rgb="00FFFFFF"/>
      <sz val="10"/>
    </font>
    <font>
      <name val="Calibri"/>
      <b val="1"/>
      <sz val="10"/>
    </font>
    <font>
      <name val="Georgia"/>
      <b val="1"/>
      <color rgb="00FFFFFF"/>
      <sz val="12"/>
    </font>
    <font>
      <name val="Calibri"/>
      <b val="1"/>
      <color rgb="00B85042"/>
      <sz val="11"/>
    </font>
    <font>
      <name val="Calibri"/>
      <color rgb="007A4F47"/>
      <sz val="10"/>
    </font>
    <font>
      <name val="Georgia"/>
      <b val="1"/>
      <color rgb="00FFFFFF"/>
      <sz val="24"/>
    </font>
    <font>
      <name val="Georgia"/>
      <i val="1"/>
      <color rgb="00D4A843"/>
      <sz val="14"/>
    </font>
    <font>
      <name val="Calibri"/>
      <i val="1"/>
      <color rgb="007A4F47"/>
      <sz val="11"/>
    </font>
    <font>
      <name val="Calibri"/>
      <color rgb="002D1B1A"/>
      <sz val="10"/>
    </font>
  </fonts>
  <fills count="7">
    <fill>
      <patternFill/>
    </fill>
    <fill>
      <patternFill patternType="gray125"/>
    </fill>
    <fill>
      <patternFill patternType="solid">
        <fgColor rgb="002D1B1A"/>
      </patternFill>
    </fill>
    <fill>
      <patternFill patternType="solid">
        <fgColor rgb="00F5E6D3"/>
      </patternFill>
    </fill>
    <fill>
      <patternFill patternType="solid">
        <fgColor rgb="00D4A843"/>
      </patternFill>
    </fill>
    <fill>
      <patternFill patternType="solid">
        <fgColor rgb="00B85042"/>
      </patternFill>
    </fill>
    <fill>
      <patternFill patternType="solid">
        <fgColor rgb="00F0F0EC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2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 vertical="top" indent="1"/>
    </xf>
    <xf numFmtId="0" fontId="10" fillId="0" borderId="0" applyAlignment="1" pivotButton="0" quotePrefix="0" xfId="0">
      <alignment horizontal="left" vertical="top" inden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3" fillId="2" borderId="0" pivotButton="0" quotePrefix="0" xfId="0"/>
    <xf numFmtId="164" fontId="3" fillId="2" borderId="0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4" fontId="8" fillId="4" borderId="0" applyAlignment="1" pivotButton="0" quotePrefix="0" xfId="0">
      <alignment horizontal="right" vertical="center"/>
    </xf>
    <xf numFmtId="0" fontId="9" fillId="2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50" customHeight="1">
      <c r="A1" s="1" t="inlineStr">
        <is>
          <t>ZIMLIVESTOCK</t>
        </is>
      </c>
    </row>
    <row r="2" ht="28" customHeight="1">
      <c r="A2" s="2" t="inlineStr">
        <is>
          <t>Financial Model — 36-month SaPS projection (v2.0, honest base case)</t>
        </is>
      </c>
    </row>
    <row r="3" ht="24" customHeight="1">
      <c r="A3" s="3" t="inlineStr">
        <is>
          <t>v2.0  ·  Tatenda Nyemudzo  ·  June 2026  ·  supersedes the May-2026 model</t>
        </is>
      </c>
    </row>
    <row r="5" ht="16" customHeight="1">
      <c r="A5" s="4" t="inlineStr"/>
    </row>
    <row r="6" ht="16" customHeight="1">
      <c r="A6" s="5" t="inlineStr">
        <is>
          <t>WHAT'S IN THIS WORKBOOK</t>
        </is>
      </c>
    </row>
    <row r="7" ht="16" customHeight="1">
      <c r="A7" s="4" t="inlineStr"/>
    </row>
    <row r="8" ht="16" customHeight="1">
      <c r="A8" s="4" t="inlineStr">
        <is>
          <t>1. Assumptions   — All inputs in gold cells. Pricing, adoption ramp, GMV, lean costs.</t>
        </is>
      </c>
    </row>
    <row r="9" ht="16" customHeight="1">
      <c r="A9" s="4" t="inlineStr">
        <is>
          <t>2. Customer ramp — The 3-house schedule (pilot -&gt; Tier B -&gt; Tier A).</t>
        </is>
      </c>
    </row>
    <row r="10" ht="16" customHeight="1">
      <c r="A10" s="4" t="inlineStr">
        <is>
          <t>3. Revenue       — Month-by-month across all 3 houses and 3 revenue lines.</t>
        </is>
      </c>
    </row>
    <row r="11" ht="16" customHeight="1">
      <c r="A11" s="4" t="inlineStr">
        <is>
          <t>4. Costs         — Founder-lean headcount + infrastructure.</t>
        </is>
      </c>
    </row>
    <row r="12" ht="16" customHeight="1">
      <c r="A12" s="4" t="inlineStr">
        <is>
          <t>5. P&amp;L summary   — Month-by-month revenue, costs, net, cumulative + notes.</t>
        </is>
      </c>
    </row>
    <row r="13" ht="16" customHeight="1">
      <c r="A13" s="4" t="inlineStr"/>
    </row>
    <row r="14" ht="16" customHeight="1">
      <c r="A14" s="4" t="inlineStr"/>
    </row>
    <row r="15" ht="16" customHeight="1">
      <c r="A15" s="5" t="inlineStr">
        <is>
          <t>WHY v2.0 — WHAT CHANGED FROM THE MAY MODEL</t>
        </is>
      </c>
    </row>
    <row r="16" ht="16" customHeight="1">
      <c r="A16" s="4" t="inlineStr"/>
    </row>
    <row r="17" ht="16" customHeight="1">
      <c r="A17" s="4" t="inlineStr">
        <is>
          <t>·  The May model assumed 10 houses in 33 months and 70% digital adoption. For a startup</t>
        </is>
      </c>
    </row>
    <row r="18" ht="16" customHeight="1">
      <c r="A18" s="4" t="inlineStr">
        <is>
          <t xml:space="preserve">   breaking a legacy, manual, cash-based market in Zimbabwe, both were over-optimistic.</t>
        </is>
      </c>
    </row>
    <row r="19" ht="16" customHeight="1">
      <c r="A19" s="4" t="inlineStr">
        <is>
          <t>·  Customer ramp:    10 houses  -&gt;  3 houses (1 -&gt; 2 -&gt; 3).</t>
        </is>
      </c>
    </row>
    <row r="20" ht="16" customHeight="1">
      <c r="A20" s="4" t="inlineStr">
        <is>
          <t>·  Adoption ceiling: 70%        -&gt;  15% (slow trust-building vs $1,000 cash deposits).</t>
        </is>
      </c>
    </row>
    <row r="21" ht="16" customHeight="1">
      <c r="A21" s="4" t="inlineStr">
        <is>
          <t>·  Pricing:          Tier A $10-12k/$2-2.5k  -&gt;  $8k/$1.5k (realistic USD WTP).</t>
        </is>
      </c>
    </row>
    <row r="22" ht="16" customHeight="1">
      <c r="A22" s="4" t="inlineStr">
        <is>
          <t>·  Costs:            funded org chart        -&gt;  founder-lean.</t>
        </is>
      </c>
    </row>
    <row r="23" ht="16" customHeight="1">
      <c r="A23" s="4" t="inlineStr"/>
    </row>
    <row r="24" ht="16" customHeight="1">
      <c r="A24" s="4" t="inlineStr"/>
    </row>
    <row r="25" ht="16" customHeight="1">
      <c r="A25" s="5" t="inlineStr">
        <is>
          <t>HONEST HEADLINE OUTPUTS (leanest base case)</t>
        </is>
      </c>
    </row>
    <row r="26" ht="16" customHeight="1">
      <c r="A26" s="4" t="inlineStr"/>
    </row>
    <row r="27" ht="16" customHeight="1">
      <c r="A27" s="4" t="inlineStr">
        <is>
          <t>·  Year 1 revenue:        ~$12,000     net  ~-$19,000   (1 house)</t>
        </is>
      </c>
    </row>
    <row r="28" ht="16" customHeight="1">
      <c r="A28" s="4" t="inlineStr">
        <is>
          <t>·  Year 2 revenue:        ~$28,000     net  ~-$13,000   (2 houses)</t>
        </is>
      </c>
    </row>
    <row r="29" ht="16" customHeight="1">
      <c r="A29" s="4" t="inlineStr">
        <is>
          <t>·  Year 3 revenue:        ~$49,000     net   ~-$7,000   (3 houses)</t>
        </is>
      </c>
    </row>
    <row r="30" ht="16" customHeight="1">
      <c r="A30" s="4" t="inlineStr">
        <is>
          <t>·  3-year revenue:        ~$89,000     3-yr net  ~-$39,000</t>
        </is>
      </c>
    </row>
    <row r="31" ht="16" customHeight="1">
      <c r="A31" s="4" t="inlineStr">
        <is>
          <t>·  Standalone break-even: BEYOND month 36 — investment-stage throughout.</t>
        </is>
      </c>
    </row>
    <row r="32" ht="16" customHeight="1">
      <c r="A32" s="4" t="inlineStr">
        <is>
          <t>·  GMV onto Paynow rails: ~$43k -&gt; ~$223k -&gt; ~$545k  (grows fastest).</t>
        </is>
      </c>
    </row>
    <row r="33" ht="16" customHeight="1">
      <c r="A33" s="4" t="inlineStr"/>
    </row>
    <row r="34" ht="16" customHeight="1">
      <c r="A34" s="5" t="inlineStr">
        <is>
          <t>THE KEY INSIGHT</t>
        </is>
      </c>
    </row>
    <row r="35" ht="16" customHeight="1">
      <c r="A35" s="4" t="inlineStr"/>
    </row>
    <row r="36" ht="16" customHeight="1">
      <c r="A36" s="4" t="inlineStr">
        <is>
          <t>·  Constraint is SCALE + FIXED COST, not adoption. Per-house economics work</t>
        </is>
      </c>
    </row>
    <row r="37" ht="16" customHeight="1">
      <c r="A37" s="4" t="inlineStr">
        <is>
          <t xml:space="preserve">   (~$15-21k/yr contribution per mature house); the model needs ~5-6 houses to cover the</t>
        </is>
      </c>
    </row>
    <row r="38" ht="16" customHeight="1">
      <c r="A38" s="4" t="inlineStr">
        <is>
          <t xml:space="preserve">   founder + support base. Doubling adoption (15% -&gt; 30%) recovers only ~$200/mo.</t>
        </is>
      </c>
    </row>
    <row r="39" ht="16" customHeight="1">
      <c r="A39" s="4" t="inlineStr"/>
    </row>
    <row r="40" ht="16" customHeight="1">
      <c r="A40" s="5" t="inlineStr">
        <is>
          <t>PATH TO VIABILITY (upside, NOT base case)</t>
        </is>
      </c>
    </row>
    <row r="41" ht="16" customHeight="1">
      <c r="A41" s="4" t="inlineStr"/>
    </row>
    <row r="42" ht="16" customHeight="1">
      <c r="A42" s="4" t="inlineStr">
        <is>
          <t>·  6 houses by month 44 + 20% adoption + transport margin  -&gt;  cumulative break-even</t>
        </is>
      </c>
    </row>
    <row r="43" ht="16" customHeight="1">
      <c r="A43" s="4" t="inlineStr">
        <is>
          <t xml:space="preserve">   ~month 36, and ~+$103,000 cumulative by month 60. See 5. P&amp;L summary notes.</t>
        </is>
      </c>
    </row>
    <row r="44" ht="16" customHeight="1">
      <c r="A44" s="4" t="inlineStr"/>
    </row>
    <row r="45" ht="16" customHeight="1">
      <c r="A45" s="4" t="inlineStr">
        <is>
          <t>·  All figures USD. No fundraising or corporate tax modelled.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32" customHeight="1">
      <c r="A1" s="6" t="inlineStr">
        <is>
          <t>ZIMLIVESTOCK — FINANCIAL MODEL ASSUMPTIONS (v2.0, honest base case)</t>
        </is>
      </c>
    </row>
    <row r="2">
      <c r="A2" s="7" t="inlineStr">
        <is>
          <t>Gold cells = inputs (edit these). White cells = calculations. Leanest startup case: 3 houses, 15% adoption ceiling, founder-lean costs.</t>
        </is>
      </c>
    </row>
    <row r="4" ht="20" customHeight="1">
      <c r="A4" s="8" t="inlineStr">
        <is>
          <t>PRICING — per-house revenue inputs (revised to realistic Zim WTP)</t>
        </is>
      </c>
    </row>
    <row r="5">
      <c r="A5" s="9" t="inlineStr">
        <is>
          <t>Engagement fee — Tier A (anchor house)</t>
        </is>
      </c>
      <c r="B5" s="10" t="n">
        <v>8000</v>
      </c>
      <c r="C5" s="11" t="inlineStr">
        <is>
          <t>Was $10-12k; trimmed for realistic USD WTP</t>
        </is>
      </c>
    </row>
    <row r="6">
      <c r="A6" s="9" t="inlineStr">
        <is>
          <t>Engagement fee — Tier B (mid-market)</t>
        </is>
      </c>
      <c r="B6" s="10" t="n">
        <v>6000</v>
      </c>
      <c r="C6" s="11" t="inlineStr">
        <is>
          <t>Was $7-8k</t>
        </is>
      </c>
    </row>
    <row r="7">
      <c r="A7" s="9" t="inlineStr">
        <is>
          <t>Engagement fee — Pilot (discounted)</t>
        </is>
      </c>
      <c r="B7" s="10" t="n">
        <v>5000</v>
      </c>
      <c r="C7" s="11" t="inlineStr">
        <is>
          <t>Disc from $8k list</t>
        </is>
      </c>
    </row>
    <row r="8">
      <c r="A8" s="9" t="inlineStr">
        <is>
          <t>Monthly retainer — Tier A</t>
        </is>
      </c>
      <c r="B8" s="10" t="n">
        <v>1500</v>
      </c>
      <c r="C8" s="11" t="inlineStr">
        <is>
          <t>Was $2,000-2,500</t>
        </is>
      </c>
    </row>
    <row r="9">
      <c r="A9" s="9" t="inlineStr">
        <is>
          <t>Monthly retainer — Tier B</t>
        </is>
      </c>
      <c r="B9" s="10" t="n">
        <v>1200</v>
      </c>
      <c r="C9" s="11" t="inlineStr">
        <is>
          <t>Was $1,500</t>
        </is>
      </c>
    </row>
    <row r="10">
      <c r="A10" s="9" t="inlineStr">
        <is>
          <t>Monthly retainer — Pilot</t>
        </is>
      </c>
      <c r="B10" s="10" t="n">
        <v>1000</v>
      </c>
      <c r="C10" s="11" t="inlineStr">
        <is>
          <t>90-day pilot rate</t>
        </is>
      </c>
    </row>
    <row r="11">
      <c r="A11" s="9" t="inlineStr">
        <is>
          <t>Transaction surcharge %</t>
        </is>
      </c>
      <c r="B11" s="12" t="n">
        <v>0.0075</v>
      </c>
      <c r="C11" s="11" t="inlineStr">
        <is>
          <t>0.75% of settled GMV</t>
        </is>
      </c>
    </row>
    <row r="13" ht="20" customHeight="1">
      <c r="A13" s="8" t="inlineStr">
        <is>
          <t>ADOPTION — % of physical GMV settling digitally (by house age)</t>
        </is>
      </c>
    </row>
    <row r="14">
      <c r="A14" s="9" t="inlineStr">
        <is>
          <t>Months 1-6 of a house (just landed)</t>
        </is>
      </c>
      <c r="B14" s="12" t="n">
        <v>0.03</v>
      </c>
      <c r="C14" s="11" t="inlineStr">
        <is>
          <t>Long-tail + remote buyers only</t>
        </is>
      </c>
    </row>
    <row r="15">
      <c r="A15" s="9" t="inlineStr">
        <is>
          <t>Months 7-12 (early trust)</t>
        </is>
      </c>
      <c r="B15" s="12" t="n">
        <v>0.06</v>
      </c>
      <c r="C15" s="11" t="inlineStr">
        <is>
          <t>Slow build vs cash deposits</t>
        </is>
      </c>
    </row>
    <row r="16">
      <c r="A16" s="9" t="inlineStr">
        <is>
          <t>Months 13-24 (ramping)</t>
        </is>
      </c>
      <c r="B16" s="12" t="n">
        <v>0.1</v>
      </c>
      <c r="C16" s="11" t="inlineStr"/>
    </row>
    <row r="17">
      <c r="A17" s="9" t="inlineStr">
        <is>
          <t>Months 25+ (mature ceiling)</t>
        </is>
      </c>
      <c r="B17" s="12" t="n">
        <v>0.15</v>
      </c>
      <c r="C17" s="11" t="inlineStr">
        <is>
          <t>Honest 3-yr ceiling for a manual market</t>
        </is>
      </c>
    </row>
    <row r="19" ht="20" customHeight="1">
      <c r="A19" s="8" t="inlineStr">
        <is>
          <t>CUSTOMER USAGE — GMV per house</t>
        </is>
      </c>
    </row>
    <row r="20">
      <c r="A20" s="9" t="inlineStr">
        <is>
          <t>Sale-day GMV — Tier A</t>
        </is>
      </c>
      <c r="B20" s="10" t="n">
        <v>90000</v>
      </c>
      <c r="C20" s="11" t="inlineStr">
        <is>
          <t>Anchor house, big sale day</t>
        </is>
      </c>
    </row>
    <row r="21">
      <c r="A21" s="9" t="inlineStr">
        <is>
          <t>Sale-day GMV — Tier B</t>
        </is>
      </c>
      <c r="B21" s="10" t="n">
        <v>60000</v>
      </c>
      <c r="C21" s="11" t="inlineStr">
        <is>
          <t>Mid-market house</t>
        </is>
      </c>
    </row>
    <row r="22">
      <c r="A22" s="9" t="inlineStr">
        <is>
          <t>Sale days per month — Tier A</t>
        </is>
      </c>
      <c r="B22" s="13" t="n">
        <v>4</v>
      </c>
      <c r="C22" s="11" t="inlineStr">
        <is>
          <t>Weekly</t>
        </is>
      </c>
    </row>
    <row r="23">
      <c r="A23" s="9" t="inlineStr">
        <is>
          <t>Sale days per month — Tier B</t>
        </is>
      </c>
      <c r="B23" s="13" t="n">
        <v>3</v>
      </c>
      <c r="C23" s="11" t="inlineStr">
        <is>
          <t>Weekly-fortnightly</t>
        </is>
      </c>
    </row>
    <row r="25" ht="20" customHeight="1">
      <c r="A25" s="8" t="inlineStr">
        <is>
          <t>COSTS — founder-lean (USD/month)</t>
        </is>
      </c>
    </row>
    <row r="26">
      <c r="A26" s="9" t="inlineStr">
        <is>
          <t>Founder draw</t>
        </is>
      </c>
      <c r="B26" s="10" t="n">
        <v>2000</v>
      </c>
      <c r="C26" s="11" t="inlineStr">
        <is>
          <t>Modest early-stage draw</t>
        </is>
      </c>
    </row>
    <row r="27">
      <c r="A27" s="9" t="inlineStr">
        <is>
          <t>Part-time support (from house #2)</t>
        </is>
      </c>
      <c r="B27" s="10" t="n">
        <v>1200</v>
      </c>
      <c r="C27" s="11" t="inlineStr">
        <is>
          <t>Added month 18</t>
        </is>
      </c>
    </row>
    <row r="28">
      <c r="A28" s="9" t="inlineStr">
        <is>
          <t>Second support (late year 3)</t>
        </is>
      </c>
      <c r="B28" s="10" t="n">
        <v>1000</v>
      </c>
      <c r="C28" s="11" t="inlineStr">
        <is>
          <t>Added month 30</t>
        </is>
      </c>
    </row>
    <row r="29">
      <c r="A29" s="9" t="inlineStr">
        <is>
          <t>Base infrastructure / month</t>
        </is>
      </c>
      <c r="B29" s="10" t="n">
        <v>250</v>
      </c>
      <c r="C29" s="11" t="inlineStr">
        <is>
          <t>Supabase + Vercel + Cloudflare</t>
        </is>
      </c>
    </row>
    <row r="30">
      <c r="A30" s="9" t="inlineStr">
        <is>
          <t>Variable infra per active house / mo</t>
        </is>
      </c>
      <c r="B30" s="10" t="n">
        <v>120</v>
      </c>
      <c r="C30" s="11" t="inlineStr">
        <is>
          <t>SMS, support tools</t>
        </is>
      </c>
    </row>
    <row r="31">
      <c r="A31" s="9" t="inlineStr">
        <is>
          <t>Misc opex / month</t>
        </is>
      </c>
      <c r="B31" s="10" t="n">
        <v>300</v>
      </c>
      <c r="C31" s="11" t="inlineStr">
        <is>
          <t>Accounting, legal, tools</t>
        </is>
      </c>
    </row>
  </sheetData>
  <mergeCells count="27">
    <mergeCell ref="C16:E16"/>
    <mergeCell ref="C31:E31"/>
    <mergeCell ref="C22:E22"/>
    <mergeCell ref="C9:E9"/>
    <mergeCell ref="A1:E1"/>
    <mergeCell ref="C21:E21"/>
    <mergeCell ref="C11:E11"/>
    <mergeCell ref="C27:E27"/>
    <mergeCell ref="C23:E23"/>
    <mergeCell ref="A25:E25"/>
    <mergeCell ref="C8:E8"/>
    <mergeCell ref="C17:E17"/>
    <mergeCell ref="C7:E7"/>
    <mergeCell ref="C28:E28"/>
    <mergeCell ref="A2:E2"/>
    <mergeCell ref="C30:E30"/>
    <mergeCell ref="C15:E15"/>
    <mergeCell ref="C6:E6"/>
    <mergeCell ref="A4:E4"/>
    <mergeCell ref="C14:E14"/>
    <mergeCell ref="C5:E5"/>
    <mergeCell ref="A19:E19"/>
    <mergeCell ref="C26:E26"/>
    <mergeCell ref="A13:E13"/>
    <mergeCell ref="C29:E29"/>
    <mergeCell ref="C20:E20"/>
    <mergeCell ref="C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0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32" customHeight="1">
      <c r="A1" s="6" t="inlineStr">
        <is>
          <t>CUSTOMER RAMP — three houses over three years (1 → 2 → 3)</t>
        </is>
      </c>
    </row>
    <row r="3" ht="30" customHeight="1">
      <c r="A3" s="14" t="inlineStr">
        <is>
          <t>#</t>
        </is>
      </c>
      <c r="B3" s="14" t="inlineStr">
        <is>
          <t>Sign month</t>
        </is>
      </c>
      <c r="C3" s="14" t="inlineStr">
        <is>
          <t>House</t>
        </is>
      </c>
      <c r="D3" s="14" t="inlineStr">
        <is>
          <t>Tier</t>
        </is>
      </c>
      <c r="E3" s="14" t="inlineStr">
        <is>
          <t>Engagement</t>
        </is>
      </c>
      <c r="F3" s="14" t="inlineStr">
        <is>
          <t>Retainer</t>
        </is>
      </c>
      <c r="G3" s="14" t="inlineStr">
        <is>
          <t>Sale-day GMV</t>
        </is>
      </c>
      <c r="H3" s="14" t="inlineStr">
        <is>
          <t>Mature tx GMV/mo (15%)</t>
        </is>
      </c>
    </row>
    <row r="4">
      <c r="A4" s="9" t="n">
        <v>1</v>
      </c>
      <c r="B4" s="15" t="n">
        <v>6</v>
      </c>
      <c r="C4" s="9" t="inlineStr">
        <is>
          <t>Pilot — Harare</t>
        </is>
      </c>
      <c r="D4" s="16" t="inlineStr">
        <is>
          <t>Pilot</t>
        </is>
      </c>
      <c r="E4" s="17" t="n">
        <v>5000</v>
      </c>
      <c r="F4" s="17" t="n">
        <v>1000</v>
      </c>
      <c r="G4" s="17" t="n">
        <v>60000</v>
      </c>
      <c r="H4" s="17" t="n">
        <v>27000</v>
      </c>
    </row>
    <row r="5">
      <c r="A5" s="9" t="n">
        <v>2</v>
      </c>
      <c r="B5" s="15" t="n">
        <v>18</v>
      </c>
      <c r="C5" s="9" t="inlineStr">
        <is>
          <t>House 2 — Bulawayo</t>
        </is>
      </c>
      <c r="D5" s="16" t="inlineStr">
        <is>
          <t>B</t>
        </is>
      </c>
      <c r="E5" s="17" t="n">
        <v>6000</v>
      </c>
      <c r="F5" s="17" t="n">
        <v>1200</v>
      </c>
      <c r="G5" s="17" t="n">
        <v>60000</v>
      </c>
      <c r="H5" s="17" t="n">
        <v>27000</v>
      </c>
    </row>
    <row r="6">
      <c r="A6" s="9" t="n">
        <v>3</v>
      </c>
      <c r="B6" s="15" t="n">
        <v>30</v>
      </c>
      <c r="C6" s="9" t="inlineStr">
        <is>
          <t>House 3 — Gweru</t>
        </is>
      </c>
      <c r="D6" s="16" t="inlineStr">
        <is>
          <t>A</t>
        </is>
      </c>
      <c r="E6" s="17" t="n">
        <v>8000</v>
      </c>
      <c r="F6" s="17" t="n">
        <v>1500</v>
      </c>
      <c r="G6" s="17" t="n">
        <v>90000</v>
      </c>
      <c r="H6" s="17" t="n">
        <v>54000</v>
      </c>
    </row>
    <row r="7">
      <c r="C7" s="18" t="inlineStr">
        <is>
          <t>TOTAL — 3 houses by month 30</t>
        </is>
      </c>
      <c r="E7" s="19">
        <f>SUM(E4:E6)</f>
        <v/>
      </c>
      <c r="F7" s="20">
        <f>SUM(F4:F6)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30" customHeight="1">
      <c r="A1" s="6" t="inlineStr">
        <is>
          <t>MONTHLY REVENUE — 36-month projection (leanest base case)</t>
        </is>
      </c>
    </row>
    <row r="3" ht="24" customHeight="1">
      <c r="A3" s="14" t="inlineStr">
        <is>
          <t>Month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  <c r="AG3" s="14" t="n">
        <v>32</v>
      </c>
      <c r="AH3" s="14" t="n">
        <v>33</v>
      </c>
      <c r="AI3" s="14" t="n">
        <v>34</v>
      </c>
      <c r="AJ3" s="14" t="n">
        <v>35</v>
      </c>
      <c r="AK3" s="14" t="n">
        <v>36</v>
      </c>
    </row>
    <row r="4">
      <c r="A4" s="21" t="inlineStr">
        <is>
          <t>ENGAGEMENT FEES</t>
        </is>
      </c>
    </row>
    <row r="5">
      <c r="A5" s="9" t="inlineStr">
        <is>
          <t>Pilot — Harare</t>
        </is>
      </c>
      <c r="B5" s="17" t="n">
        <v>0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5000</v>
      </c>
      <c r="H5" s="17" t="n">
        <v>0</v>
      </c>
      <c r="I5" s="17" t="n">
        <v>0</v>
      </c>
      <c r="J5" s="17" t="n">
        <v>0</v>
      </c>
      <c r="K5" s="17" t="n">
        <v>0</v>
      </c>
      <c r="L5" s="17" t="n">
        <v>0</v>
      </c>
      <c r="M5" s="17" t="n">
        <v>0</v>
      </c>
      <c r="N5" s="17" t="n">
        <v>0</v>
      </c>
      <c r="O5" s="17" t="n">
        <v>0</v>
      </c>
      <c r="P5" s="17" t="n">
        <v>0</v>
      </c>
      <c r="Q5" s="17" t="n">
        <v>0</v>
      </c>
      <c r="R5" s="17" t="n">
        <v>0</v>
      </c>
      <c r="S5" s="17" t="n">
        <v>0</v>
      </c>
      <c r="T5" s="17" t="n">
        <v>0</v>
      </c>
      <c r="U5" s="17" t="n">
        <v>0</v>
      </c>
      <c r="V5" s="17" t="n">
        <v>0</v>
      </c>
      <c r="W5" s="17" t="n">
        <v>0</v>
      </c>
      <c r="X5" s="17" t="n">
        <v>0</v>
      </c>
      <c r="Y5" s="17" t="n">
        <v>0</v>
      </c>
      <c r="Z5" s="17" t="n">
        <v>0</v>
      </c>
      <c r="AA5" s="17" t="n">
        <v>0</v>
      </c>
      <c r="AB5" s="17" t="n">
        <v>0</v>
      </c>
      <c r="AC5" s="17" t="n">
        <v>0</v>
      </c>
      <c r="AD5" s="17" t="n">
        <v>0</v>
      </c>
      <c r="AE5" s="17" t="n">
        <v>0</v>
      </c>
      <c r="AF5" s="17" t="n">
        <v>0</v>
      </c>
      <c r="AG5" s="17" t="n">
        <v>0</v>
      </c>
      <c r="AH5" s="17" t="n">
        <v>0</v>
      </c>
      <c r="AI5" s="17" t="n">
        <v>0</v>
      </c>
      <c r="AJ5" s="17" t="n">
        <v>0</v>
      </c>
      <c r="AK5" s="17" t="n">
        <v>0</v>
      </c>
    </row>
    <row r="6">
      <c r="A6" s="9" t="inlineStr">
        <is>
          <t>House 2 — Bulawayo</t>
        </is>
      </c>
      <c r="B6" s="17" t="n">
        <v>0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7" t="n">
        <v>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  <c r="R6" s="17" t="n">
        <v>0</v>
      </c>
      <c r="S6" s="17" t="n">
        <v>6000</v>
      </c>
      <c r="T6" s="17" t="n">
        <v>0</v>
      </c>
      <c r="U6" s="17" t="n">
        <v>0</v>
      </c>
      <c r="V6" s="17" t="n">
        <v>0</v>
      </c>
      <c r="W6" s="17" t="n">
        <v>0</v>
      </c>
      <c r="X6" s="17" t="n">
        <v>0</v>
      </c>
      <c r="Y6" s="17" t="n">
        <v>0</v>
      </c>
      <c r="Z6" s="17" t="n">
        <v>0</v>
      </c>
      <c r="AA6" s="17" t="n">
        <v>0</v>
      </c>
      <c r="AB6" s="17" t="n">
        <v>0</v>
      </c>
      <c r="AC6" s="17" t="n">
        <v>0</v>
      </c>
      <c r="AD6" s="17" t="n">
        <v>0</v>
      </c>
      <c r="AE6" s="17" t="n">
        <v>0</v>
      </c>
      <c r="AF6" s="17" t="n">
        <v>0</v>
      </c>
      <c r="AG6" s="17" t="n">
        <v>0</v>
      </c>
      <c r="AH6" s="17" t="n">
        <v>0</v>
      </c>
      <c r="AI6" s="17" t="n">
        <v>0</v>
      </c>
      <c r="AJ6" s="17" t="n">
        <v>0</v>
      </c>
      <c r="AK6" s="17" t="n">
        <v>0</v>
      </c>
    </row>
    <row r="7">
      <c r="A7" s="9" t="inlineStr">
        <is>
          <t>House 3 — Gweru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7" t="n">
        <v>0</v>
      </c>
      <c r="I7" s="17" t="n">
        <v>0</v>
      </c>
      <c r="J7" s="17" t="n">
        <v>0</v>
      </c>
      <c r="K7" s="17" t="n">
        <v>0</v>
      </c>
      <c r="L7" s="17" t="n">
        <v>0</v>
      </c>
      <c r="M7" s="17" t="n">
        <v>0</v>
      </c>
      <c r="N7" s="17" t="n">
        <v>0</v>
      </c>
      <c r="O7" s="17" t="n">
        <v>0</v>
      </c>
      <c r="P7" s="17" t="n">
        <v>0</v>
      </c>
      <c r="Q7" s="17" t="n">
        <v>0</v>
      </c>
      <c r="R7" s="17" t="n">
        <v>0</v>
      </c>
      <c r="S7" s="17" t="n">
        <v>0</v>
      </c>
      <c r="T7" s="17" t="n">
        <v>0</v>
      </c>
      <c r="U7" s="17" t="n">
        <v>0</v>
      </c>
      <c r="V7" s="17" t="n">
        <v>0</v>
      </c>
      <c r="W7" s="17" t="n">
        <v>0</v>
      </c>
      <c r="X7" s="17" t="n">
        <v>0</v>
      </c>
      <c r="Y7" s="17" t="n">
        <v>0</v>
      </c>
      <c r="Z7" s="17" t="n">
        <v>0</v>
      </c>
      <c r="AA7" s="17" t="n">
        <v>0</v>
      </c>
      <c r="AB7" s="17" t="n">
        <v>0</v>
      </c>
      <c r="AC7" s="17" t="n">
        <v>0</v>
      </c>
      <c r="AD7" s="17" t="n">
        <v>0</v>
      </c>
      <c r="AE7" s="17" t="n">
        <v>8000</v>
      </c>
      <c r="AF7" s="17" t="n">
        <v>0</v>
      </c>
      <c r="AG7" s="17" t="n">
        <v>0</v>
      </c>
      <c r="AH7" s="17" t="n">
        <v>0</v>
      </c>
      <c r="AI7" s="17" t="n">
        <v>0</v>
      </c>
      <c r="AJ7" s="17" t="n">
        <v>0</v>
      </c>
      <c r="AK7" s="17" t="n">
        <v>0</v>
      </c>
    </row>
    <row r="8">
      <c r="A8" s="18" t="inlineStr">
        <is>
          <t xml:space="preserve">  Total engagement</t>
        </is>
      </c>
      <c r="B8" s="19">
        <f>SUM(B5:B7)</f>
        <v/>
      </c>
      <c r="C8" s="19">
        <f>SUM(C5:C7)</f>
        <v/>
      </c>
      <c r="D8" s="19">
        <f>SUM(D5:D7)</f>
        <v/>
      </c>
      <c r="E8" s="19">
        <f>SUM(E5:E7)</f>
        <v/>
      </c>
      <c r="F8" s="19">
        <f>SUM(F5:F7)</f>
        <v/>
      </c>
      <c r="G8" s="19">
        <f>SUM(G5:G7)</f>
        <v/>
      </c>
      <c r="H8" s="19">
        <f>SUM(H5:H7)</f>
        <v/>
      </c>
      <c r="I8" s="19">
        <f>SUM(I5:I7)</f>
        <v/>
      </c>
      <c r="J8" s="19">
        <f>SUM(J5:J7)</f>
        <v/>
      </c>
      <c r="K8" s="19">
        <f>SUM(K5:K7)</f>
        <v/>
      </c>
      <c r="L8" s="19">
        <f>SUM(L5:L7)</f>
        <v/>
      </c>
      <c r="M8" s="19">
        <f>SUM(M5:M7)</f>
        <v/>
      </c>
      <c r="N8" s="19">
        <f>SUM(N5:N7)</f>
        <v/>
      </c>
      <c r="O8" s="19">
        <f>SUM(O5:O7)</f>
        <v/>
      </c>
      <c r="P8" s="19">
        <f>SUM(P5:P7)</f>
        <v/>
      </c>
      <c r="Q8" s="19">
        <f>SUM(Q5:Q7)</f>
        <v/>
      </c>
      <c r="R8" s="19">
        <f>SUM(R5:R7)</f>
        <v/>
      </c>
      <c r="S8" s="19">
        <f>SUM(S5:S7)</f>
        <v/>
      </c>
      <c r="T8" s="19">
        <f>SUM(T5:T7)</f>
        <v/>
      </c>
      <c r="U8" s="19">
        <f>SUM(U5:U7)</f>
        <v/>
      </c>
      <c r="V8" s="19">
        <f>SUM(V5:V7)</f>
        <v/>
      </c>
      <c r="W8" s="19">
        <f>SUM(W5:W7)</f>
        <v/>
      </c>
      <c r="X8" s="19">
        <f>SUM(X5:X7)</f>
        <v/>
      </c>
      <c r="Y8" s="19">
        <f>SUM(Y5:Y7)</f>
        <v/>
      </c>
      <c r="Z8" s="19">
        <f>SUM(Z5:Z7)</f>
        <v/>
      </c>
      <c r="AA8" s="19">
        <f>SUM(AA5:AA7)</f>
        <v/>
      </c>
      <c r="AB8" s="19">
        <f>SUM(AB5:AB7)</f>
        <v/>
      </c>
      <c r="AC8" s="19">
        <f>SUM(AC5:AC7)</f>
        <v/>
      </c>
      <c r="AD8" s="19">
        <f>SUM(AD5:AD7)</f>
        <v/>
      </c>
      <c r="AE8" s="19">
        <f>SUM(AE5:AE7)</f>
        <v/>
      </c>
      <c r="AF8" s="19">
        <f>SUM(AF5:AF7)</f>
        <v/>
      </c>
      <c r="AG8" s="19">
        <f>SUM(AG5:AG7)</f>
        <v/>
      </c>
      <c r="AH8" s="19">
        <f>SUM(AH5:AH7)</f>
        <v/>
      </c>
      <c r="AI8" s="19">
        <f>SUM(AI5:AI7)</f>
        <v/>
      </c>
      <c r="AJ8" s="19">
        <f>SUM(AJ5:AJ7)</f>
        <v/>
      </c>
      <c r="AK8" s="19">
        <f>SUM(AK5:AK7)</f>
        <v/>
      </c>
    </row>
    <row r="10">
      <c r="A10" s="21" t="inlineStr">
        <is>
          <t>RETAINER</t>
        </is>
      </c>
    </row>
    <row r="11">
      <c r="A11" s="9" t="inlineStr">
        <is>
          <t>Pilot — Harare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1000</v>
      </c>
      <c r="H11" s="17" t="n">
        <v>1000</v>
      </c>
      <c r="I11" s="17" t="n">
        <v>1000</v>
      </c>
      <c r="J11" s="17" t="n">
        <v>1000</v>
      </c>
      <c r="K11" s="17" t="n">
        <v>1000</v>
      </c>
      <c r="L11" s="17" t="n">
        <v>1000</v>
      </c>
      <c r="M11" s="17" t="n">
        <v>1000</v>
      </c>
      <c r="N11" s="17" t="n">
        <v>1000</v>
      </c>
      <c r="O11" s="17" t="n">
        <v>1000</v>
      </c>
      <c r="P11" s="17" t="n">
        <v>1000</v>
      </c>
      <c r="Q11" s="17" t="n">
        <v>1000</v>
      </c>
      <c r="R11" s="17" t="n">
        <v>1000</v>
      </c>
      <c r="S11" s="17" t="n">
        <v>1000</v>
      </c>
      <c r="T11" s="17" t="n">
        <v>1000</v>
      </c>
      <c r="U11" s="17" t="n">
        <v>1000</v>
      </c>
      <c r="V11" s="17" t="n">
        <v>1000</v>
      </c>
      <c r="W11" s="17" t="n">
        <v>1000</v>
      </c>
      <c r="X11" s="17" t="n">
        <v>1000</v>
      </c>
      <c r="Y11" s="17" t="n">
        <v>1000</v>
      </c>
      <c r="Z11" s="17" t="n">
        <v>1000</v>
      </c>
      <c r="AA11" s="17" t="n">
        <v>1000</v>
      </c>
      <c r="AB11" s="17" t="n">
        <v>1000</v>
      </c>
      <c r="AC11" s="17" t="n">
        <v>1000</v>
      </c>
      <c r="AD11" s="17" t="n">
        <v>1000</v>
      </c>
      <c r="AE11" s="17" t="n">
        <v>1000</v>
      </c>
      <c r="AF11" s="17" t="n">
        <v>1000</v>
      </c>
      <c r="AG11" s="17" t="n">
        <v>1000</v>
      </c>
      <c r="AH11" s="17" t="n">
        <v>1000</v>
      </c>
      <c r="AI11" s="17" t="n">
        <v>1000</v>
      </c>
      <c r="AJ11" s="17" t="n">
        <v>1000</v>
      </c>
      <c r="AK11" s="17" t="n">
        <v>1000</v>
      </c>
    </row>
    <row r="12">
      <c r="A12" s="9" t="inlineStr">
        <is>
          <t>House 2 — Bulawayo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0</v>
      </c>
      <c r="J12" s="17" t="n">
        <v>0</v>
      </c>
      <c r="K12" s="17" t="n">
        <v>0</v>
      </c>
      <c r="L12" s="17" t="n">
        <v>0</v>
      </c>
      <c r="M12" s="17" t="n">
        <v>0</v>
      </c>
      <c r="N12" s="17" t="n">
        <v>0</v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1200</v>
      </c>
      <c r="T12" s="17" t="n">
        <v>1200</v>
      </c>
      <c r="U12" s="17" t="n">
        <v>1200</v>
      </c>
      <c r="V12" s="17" t="n">
        <v>1200</v>
      </c>
      <c r="W12" s="17" t="n">
        <v>1200</v>
      </c>
      <c r="X12" s="17" t="n">
        <v>1200</v>
      </c>
      <c r="Y12" s="17" t="n">
        <v>1200</v>
      </c>
      <c r="Z12" s="17" t="n">
        <v>1200</v>
      </c>
      <c r="AA12" s="17" t="n">
        <v>1200</v>
      </c>
      <c r="AB12" s="17" t="n">
        <v>1200</v>
      </c>
      <c r="AC12" s="17" t="n">
        <v>1200</v>
      </c>
      <c r="AD12" s="17" t="n">
        <v>1200</v>
      </c>
      <c r="AE12" s="17" t="n">
        <v>1200</v>
      </c>
      <c r="AF12" s="17" t="n">
        <v>1200</v>
      </c>
      <c r="AG12" s="17" t="n">
        <v>1200</v>
      </c>
      <c r="AH12" s="17" t="n">
        <v>1200</v>
      </c>
      <c r="AI12" s="17" t="n">
        <v>1200</v>
      </c>
      <c r="AJ12" s="17" t="n">
        <v>1200</v>
      </c>
      <c r="AK12" s="17" t="n">
        <v>1200</v>
      </c>
    </row>
    <row r="13">
      <c r="A13" s="9" t="inlineStr">
        <is>
          <t>House 3 — Gweru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0</v>
      </c>
      <c r="W13" s="17" t="n">
        <v>0</v>
      </c>
      <c r="X13" s="17" t="n">
        <v>0</v>
      </c>
      <c r="Y13" s="17" t="n">
        <v>0</v>
      </c>
      <c r="Z13" s="17" t="n">
        <v>0</v>
      </c>
      <c r="AA13" s="17" t="n">
        <v>0</v>
      </c>
      <c r="AB13" s="17" t="n">
        <v>0</v>
      </c>
      <c r="AC13" s="17" t="n">
        <v>0</v>
      </c>
      <c r="AD13" s="17" t="n">
        <v>0</v>
      </c>
      <c r="AE13" s="17" t="n">
        <v>1500</v>
      </c>
      <c r="AF13" s="17" t="n">
        <v>1500</v>
      </c>
      <c r="AG13" s="17" t="n">
        <v>1500</v>
      </c>
      <c r="AH13" s="17" t="n">
        <v>1500</v>
      </c>
      <c r="AI13" s="17" t="n">
        <v>1500</v>
      </c>
      <c r="AJ13" s="17" t="n">
        <v>1500</v>
      </c>
      <c r="AK13" s="17" t="n">
        <v>1500</v>
      </c>
    </row>
    <row r="14">
      <c r="A14" s="18" t="inlineStr">
        <is>
          <t xml:space="preserve">  Total retainer</t>
        </is>
      </c>
      <c r="B14" s="19">
        <f>SUM(B11:B13)</f>
        <v/>
      </c>
      <c r="C14" s="19">
        <f>SUM(C11:C13)</f>
        <v/>
      </c>
      <c r="D14" s="19">
        <f>SUM(D11:D13)</f>
        <v/>
      </c>
      <c r="E14" s="19">
        <f>SUM(E11:E13)</f>
        <v/>
      </c>
      <c r="F14" s="19">
        <f>SUM(F11:F13)</f>
        <v/>
      </c>
      <c r="G14" s="19">
        <f>SUM(G11:G13)</f>
        <v/>
      </c>
      <c r="H14" s="19">
        <f>SUM(H11:H13)</f>
        <v/>
      </c>
      <c r="I14" s="19">
        <f>SUM(I11:I13)</f>
        <v/>
      </c>
      <c r="J14" s="19">
        <f>SUM(J11:J13)</f>
        <v/>
      </c>
      <c r="K14" s="19">
        <f>SUM(K11:K13)</f>
        <v/>
      </c>
      <c r="L14" s="19">
        <f>SUM(L11:L13)</f>
        <v/>
      </c>
      <c r="M14" s="19">
        <f>SUM(M11:M13)</f>
        <v/>
      </c>
      <c r="N14" s="19">
        <f>SUM(N11:N13)</f>
        <v/>
      </c>
      <c r="O14" s="19">
        <f>SUM(O11:O13)</f>
        <v/>
      </c>
      <c r="P14" s="19">
        <f>SUM(P11:P13)</f>
        <v/>
      </c>
      <c r="Q14" s="19">
        <f>SUM(Q11:Q13)</f>
        <v/>
      </c>
      <c r="R14" s="19">
        <f>SUM(R11:R13)</f>
        <v/>
      </c>
      <c r="S14" s="19">
        <f>SUM(S11:S13)</f>
        <v/>
      </c>
      <c r="T14" s="19">
        <f>SUM(T11:T13)</f>
        <v/>
      </c>
      <c r="U14" s="19">
        <f>SUM(U11:U13)</f>
        <v/>
      </c>
      <c r="V14" s="19">
        <f>SUM(V11:V13)</f>
        <v/>
      </c>
      <c r="W14" s="19">
        <f>SUM(W11:W13)</f>
        <v/>
      </c>
      <c r="X14" s="19">
        <f>SUM(X11:X13)</f>
        <v/>
      </c>
      <c r="Y14" s="19">
        <f>SUM(Y11:Y13)</f>
        <v/>
      </c>
      <c r="Z14" s="19">
        <f>SUM(Z11:Z13)</f>
        <v/>
      </c>
      <c r="AA14" s="19">
        <f>SUM(AA11:AA13)</f>
        <v/>
      </c>
      <c r="AB14" s="19">
        <f>SUM(AB11:AB13)</f>
        <v/>
      </c>
      <c r="AC14" s="19">
        <f>SUM(AC11:AC13)</f>
        <v/>
      </c>
      <c r="AD14" s="19">
        <f>SUM(AD11:AD13)</f>
        <v/>
      </c>
      <c r="AE14" s="19">
        <f>SUM(AE11:AE13)</f>
        <v/>
      </c>
      <c r="AF14" s="19">
        <f>SUM(AF11:AF13)</f>
        <v/>
      </c>
      <c r="AG14" s="19">
        <f>SUM(AG11:AG13)</f>
        <v/>
      </c>
      <c r="AH14" s="19">
        <f>SUM(AH11:AH13)</f>
        <v/>
      </c>
      <c r="AI14" s="19">
        <f>SUM(AI11:AI13)</f>
        <v/>
      </c>
      <c r="AJ14" s="19">
        <f>SUM(AJ11:AJ13)</f>
        <v/>
      </c>
      <c r="AK14" s="19">
        <f>SUM(AK11:AK13)</f>
        <v/>
      </c>
    </row>
    <row r="16">
      <c r="A16" s="21" t="inlineStr">
        <is>
          <t>TX SURCHARGE  (adoption-weighted, 0.75%)</t>
        </is>
      </c>
    </row>
    <row r="17">
      <c r="A17" s="9" t="inlineStr">
        <is>
          <t>Pilot — Harare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40</v>
      </c>
      <c r="H17" s="17" t="n">
        <v>40</v>
      </c>
      <c r="I17" s="17" t="n">
        <v>40</v>
      </c>
      <c r="J17" s="17" t="n">
        <v>40</v>
      </c>
      <c r="K17" s="17" t="n">
        <v>40</v>
      </c>
      <c r="L17" s="17" t="n">
        <v>40</v>
      </c>
      <c r="M17" s="17" t="n">
        <v>81</v>
      </c>
      <c r="N17" s="17" t="n">
        <v>81</v>
      </c>
      <c r="O17" s="17" t="n">
        <v>81</v>
      </c>
      <c r="P17" s="17" t="n">
        <v>81</v>
      </c>
      <c r="Q17" s="17" t="n">
        <v>81</v>
      </c>
      <c r="R17" s="17" t="n">
        <v>81</v>
      </c>
      <c r="S17" s="17" t="n">
        <v>135</v>
      </c>
      <c r="T17" s="17" t="n">
        <v>135</v>
      </c>
      <c r="U17" s="17" t="n">
        <v>135</v>
      </c>
      <c r="V17" s="17" t="n">
        <v>135</v>
      </c>
      <c r="W17" s="17" t="n">
        <v>135</v>
      </c>
      <c r="X17" s="17" t="n">
        <v>135</v>
      </c>
      <c r="Y17" s="17" t="n">
        <v>135</v>
      </c>
      <c r="Z17" s="17" t="n">
        <v>135</v>
      </c>
      <c r="AA17" s="17" t="n">
        <v>135</v>
      </c>
      <c r="AB17" s="17" t="n">
        <v>135</v>
      </c>
      <c r="AC17" s="17" t="n">
        <v>135</v>
      </c>
      <c r="AD17" s="17" t="n">
        <v>135</v>
      </c>
      <c r="AE17" s="17" t="n">
        <v>202</v>
      </c>
      <c r="AF17" s="17" t="n">
        <v>202</v>
      </c>
      <c r="AG17" s="17" t="n">
        <v>202</v>
      </c>
      <c r="AH17" s="17" t="n">
        <v>202</v>
      </c>
      <c r="AI17" s="17" t="n">
        <v>202</v>
      </c>
      <c r="AJ17" s="17" t="n">
        <v>202</v>
      </c>
      <c r="AK17" s="17" t="n">
        <v>202</v>
      </c>
    </row>
    <row r="18">
      <c r="A18" s="9" t="inlineStr">
        <is>
          <t>House 2 — Bulawayo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40</v>
      </c>
      <c r="T18" s="17" t="n">
        <v>40</v>
      </c>
      <c r="U18" s="17" t="n">
        <v>40</v>
      </c>
      <c r="V18" s="17" t="n">
        <v>40</v>
      </c>
      <c r="W18" s="17" t="n">
        <v>40</v>
      </c>
      <c r="X18" s="17" t="n">
        <v>40</v>
      </c>
      <c r="Y18" s="17" t="n">
        <v>81</v>
      </c>
      <c r="Z18" s="17" t="n">
        <v>81</v>
      </c>
      <c r="AA18" s="17" t="n">
        <v>81</v>
      </c>
      <c r="AB18" s="17" t="n">
        <v>81</v>
      </c>
      <c r="AC18" s="17" t="n">
        <v>81</v>
      </c>
      <c r="AD18" s="17" t="n">
        <v>81</v>
      </c>
      <c r="AE18" s="17" t="n">
        <v>135</v>
      </c>
      <c r="AF18" s="17" t="n">
        <v>135</v>
      </c>
      <c r="AG18" s="17" t="n">
        <v>135</v>
      </c>
      <c r="AH18" s="17" t="n">
        <v>135</v>
      </c>
      <c r="AI18" s="17" t="n">
        <v>135</v>
      </c>
      <c r="AJ18" s="17" t="n">
        <v>135</v>
      </c>
      <c r="AK18" s="17" t="n">
        <v>135</v>
      </c>
    </row>
    <row r="19">
      <c r="A19" s="9" t="inlineStr">
        <is>
          <t>House 3 — Gweru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  <c r="AE19" s="17" t="n">
        <v>81</v>
      </c>
      <c r="AF19" s="17" t="n">
        <v>81</v>
      </c>
      <c r="AG19" s="17" t="n">
        <v>81</v>
      </c>
      <c r="AH19" s="17" t="n">
        <v>81</v>
      </c>
      <c r="AI19" s="17" t="n">
        <v>81</v>
      </c>
      <c r="AJ19" s="17" t="n">
        <v>81</v>
      </c>
      <c r="AK19" s="17" t="n">
        <v>162</v>
      </c>
    </row>
    <row r="20">
      <c r="A20" s="18" t="inlineStr">
        <is>
          <t xml:space="preserve">  Total tx surcharge</t>
        </is>
      </c>
      <c r="B20" s="19">
        <f>SUM(B17:B19)</f>
        <v/>
      </c>
      <c r="C20" s="19">
        <f>SUM(C17:C19)</f>
        <v/>
      </c>
      <c r="D20" s="19">
        <f>SUM(D17:D19)</f>
        <v/>
      </c>
      <c r="E20" s="19">
        <f>SUM(E17:E19)</f>
        <v/>
      </c>
      <c r="F20" s="19">
        <f>SUM(F17:F19)</f>
        <v/>
      </c>
      <c r="G20" s="19">
        <f>SUM(G17:G19)</f>
        <v/>
      </c>
      <c r="H20" s="19">
        <f>SUM(H17:H19)</f>
        <v/>
      </c>
      <c r="I20" s="19">
        <f>SUM(I17:I19)</f>
        <v/>
      </c>
      <c r="J20" s="19">
        <f>SUM(J17:J19)</f>
        <v/>
      </c>
      <c r="K20" s="19">
        <f>SUM(K17:K19)</f>
        <v/>
      </c>
      <c r="L20" s="19">
        <f>SUM(L17:L19)</f>
        <v/>
      </c>
      <c r="M20" s="19">
        <f>SUM(M17:M19)</f>
        <v/>
      </c>
      <c r="N20" s="19">
        <f>SUM(N17:N19)</f>
        <v/>
      </c>
      <c r="O20" s="19">
        <f>SUM(O17:O19)</f>
        <v/>
      </c>
      <c r="P20" s="19">
        <f>SUM(P17:P19)</f>
        <v/>
      </c>
      <c r="Q20" s="19">
        <f>SUM(Q17:Q19)</f>
        <v/>
      </c>
      <c r="R20" s="19">
        <f>SUM(R17:R19)</f>
        <v/>
      </c>
      <c r="S20" s="19">
        <f>SUM(S17:S19)</f>
        <v/>
      </c>
      <c r="T20" s="19">
        <f>SUM(T17:T19)</f>
        <v/>
      </c>
      <c r="U20" s="19">
        <f>SUM(U17:U19)</f>
        <v/>
      </c>
      <c r="V20" s="19">
        <f>SUM(V17:V19)</f>
        <v/>
      </c>
      <c r="W20" s="19">
        <f>SUM(W17:W19)</f>
        <v/>
      </c>
      <c r="X20" s="19">
        <f>SUM(X17:X19)</f>
        <v/>
      </c>
      <c r="Y20" s="19">
        <f>SUM(Y17:Y19)</f>
        <v/>
      </c>
      <c r="Z20" s="19">
        <f>SUM(Z17:Z19)</f>
        <v/>
      </c>
      <c r="AA20" s="19">
        <f>SUM(AA17:AA19)</f>
        <v/>
      </c>
      <c r="AB20" s="19">
        <f>SUM(AB17:AB19)</f>
        <v/>
      </c>
      <c r="AC20" s="19">
        <f>SUM(AC17:AC19)</f>
        <v/>
      </c>
      <c r="AD20" s="19">
        <f>SUM(AD17:AD19)</f>
        <v/>
      </c>
      <c r="AE20" s="19">
        <f>SUM(AE17:AE19)</f>
        <v/>
      </c>
      <c r="AF20" s="19">
        <f>SUM(AF17:AF19)</f>
        <v/>
      </c>
      <c r="AG20" s="19">
        <f>SUM(AG17:AG19)</f>
        <v/>
      </c>
      <c r="AH20" s="19">
        <f>SUM(AH17:AH19)</f>
        <v/>
      </c>
      <c r="AI20" s="19">
        <f>SUM(AI17:AI19)</f>
        <v/>
      </c>
      <c r="AJ20" s="19">
        <f>SUM(AJ17:AJ19)</f>
        <v/>
      </c>
      <c r="AK20" s="19">
        <f>SUM(AK17:AK19)</f>
        <v/>
      </c>
    </row>
    <row r="22">
      <c r="A22" s="22" t="inlineStr">
        <is>
          <t>GRAND TOTAL</t>
        </is>
      </c>
      <c r="B22" s="23">
        <f>B8+B14+B20</f>
        <v/>
      </c>
      <c r="C22" s="23">
        <f>C8+C14+C20</f>
        <v/>
      </c>
      <c r="D22" s="23">
        <f>D8+D14+D20</f>
        <v/>
      </c>
      <c r="E22" s="23">
        <f>E8+E14+E20</f>
        <v/>
      </c>
      <c r="F22" s="23">
        <f>F8+F14+F20</f>
        <v/>
      </c>
      <c r="G22" s="23">
        <f>G8+G14+G20</f>
        <v/>
      </c>
      <c r="H22" s="23">
        <f>H8+H14+H20</f>
        <v/>
      </c>
      <c r="I22" s="23">
        <f>I8+I14+I20</f>
        <v/>
      </c>
      <c r="J22" s="23">
        <f>J8+J14+J20</f>
        <v/>
      </c>
      <c r="K22" s="23">
        <f>K8+K14+K20</f>
        <v/>
      </c>
      <c r="L22" s="23">
        <f>L8+L14+L20</f>
        <v/>
      </c>
      <c r="M22" s="23">
        <f>M8+M14+M20</f>
        <v/>
      </c>
      <c r="N22" s="23">
        <f>N8+N14+N20</f>
        <v/>
      </c>
      <c r="O22" s="23">
        <f>O8+O14+O20</f>
        <v/>
      </c>
      <c r="P22" s="23">
        <f>P8+P14+P20</f>
        <v/>
      </c>
      <c r="Q22" s="23">
        <f>Q8+Q14+Q20</f>
        <v/>
      </c>
      <c r="R22" s="23">
        <f>R8+R14+R20</f>
        <v/>
      </c>
      <c r="S22" s="23">
        <f>S8+S14+S20</f>
        <v/>
      </c>
      <c r="T22" s="23">
        <f>T8+T14+T20</f>
        <v/>
      </c>
      <c r="U22" s="23">
        <f>U8+U14+U20</f>
        <v/>
      </c>
      <c r="V22" s="23">
        <f>V8+V14+V20</f>
        <v/>
      </c>
      <c r="W22" s="23">
        <f>W8+W14+W20</f>
        <v/>
      </c>
      <c r="X22" s="23">
        <f>X8+X14+X20</f>
        <v/>
      </c>
      <c r="Y22" s="23">
        <f>Y8+Y14+Y20</f>
        <v/>
      </c>
      <c r="Z22" s="23">
        <f>Z8+Z14+Z20</f>
        <v/>
      </c>
      <c r="AA22" s="23">
        <f>AA8+AA14+AA20</f>
        <v/>
      </c>
      <c r="AB22" s="23">
        <f>AB8+AB14+AB20</f>
        <v/>
      </c>
      <c r="AC22" s="23">
        <f>AC8+AC14+AC20</f>
        <v/>
      </c>
      <c r="AD22" s="23">
        <f>AD8+AD14+AD20</f>
        <v/>
      </c>
      <c r="AE22" s="23">
        <f>AE8+AE14+AE20</f>
        <v/>
      </c>
      <c r="AF22" s="23">
        <f>AF8+AF14+AF20</f>
        <v/>
      </c>
      <c r="AG22" s="23">
        <f>AG8+AG14+AG20</f>
        <v/>
      </c>
      <c r="AH22" s="23">
        <f>AH8+AH14+AH20</f>
        <v/>
      </c>
      <c r="AI22" s="23">
        <f>AI8+AI14+AI20</f>
        <v/>
      </c>
      <c r="AJ22" s="23">
        <f>AJ8+AJ14+AJ20</f>
        <v/>
      </c>
      <c r="AK22" s="23">
        <f>AK8+AK14+AK20</f>
        <v/>
      </c>
    </row>
    <row r="24">
      <c r="A24" s="18" t="inlineStr">
        <is>
          <t>Year 1 (m1-12)</t>
        </is>
      </c>
      <c r="B24" s="19">
        <f>SUM(B22:M22)</f>
        <v/>
      </c>
      <c r="C24" s="24" t="n"/>
      <c r="D24" s="24" t="n"/>
      <c r="E24" s="25" t="n"/>
    </row>
    <row r="25">
      <c r="A25" s="18" t="inlineStr">
        <is>
          <t>Year 2 (m13-24)</t>
        </is>
      </c>
      <c r="B25" s="19">
        <f>SUM(N22:Y22)</f>
        <v/>
      </c>
      <c r="C25" s="24" t="n"/>
      <c r="D25" s="24" t="n"/>
      <c r="E25" s="25" t="n"/>
    </row>
    <row r="26">
      <c r="A26" s="18" t="inlineStr">
        <is>
          <t>Year 3 (m25-36)</t>
        </is>
      </c>
      <c r="B26" s="19">
        <f>SUM(Z22:AK22)</f>
        <v/>
      </c>
      <c r="C26" s="24" t="n"/>
      <c r="D26" s="24" t="n"/>
      <c r="E26" s="25" t="n"/>
    </row>
  </sheetData>
  <mergeCells count="4">
    <mergeCell ref="A1:AL1"/>
    <mergeCell ref="B26:E26"/>
    <mergeCell ref="B25:E25"/>
    <mergeCell ref="B24:E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30" customHeight="1">
      <c r="A1" s="6" t="inlineStr">
        <is>
          <t>MONTHLY COSTS — founder-lean headcount + infrastructure</t>
        </is>
      </c>
    </row>
    <row r="3" ht="24" customHeight="1">
      <c r="A3" s="14" t="inlineStr">
        <is>
          <t>Month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  <c r="AG3" s="14" t="n">
        <v>32</v>
      </c>
      <c r="AH3" s="14" t="n">
        <v>33</v>
      </c>
      <c r="AI3" s="14" t="n">
        <v>34</v>
      </c>
      <c r="AJ3" s="14" t="n">
        <v>35</v>
      </c>
      <c r="AK3" s="14" t="n">
        <v>36</v>
      </c>
    </row>
    <row r="4">
      <c r="A4" s="21" t="inlineStr">
        <is>
          <t>PEOPLE</t>
        </is>
      </c>
    </row>
    <row r="5">
      <c r="A5" s="9" t="inlineStr">
        <is>
          <t>Founder draw</t>
        </is>
      </c>
      <c r="B5" s="17" t="n">
        <v>2000</v>
      </c>
      <c r="C5" s="17" t="n">
        <v>2000</v>
      </c>
      <c r="D5" s="17" t="n">
        <v>2000</v>
      </c>
      <c r="E5" s="17" t="n">
        <v>2000</v>
      </c>
      <c r="F5" s="17" t="n">
        <v>2000</v>
      </c>
      <c r="G5" s="17" t="n">
        <v>2000</v>
      </c>
      <c r="H5" s="17" t="n">
        <v>2000</v>
      </c>
      <c r="I5" s="17" t="n">
        <v>2000</v>
      </c>
      <c r="J5" s="17" t="n">
        <v>2000</v>
      </c>
      <c r="K5" s="17" t="n">
        <v>2000</v>
      </c>
      <c r="L5" s="17" t="n">
        <v>2000</v>
      </c>
      <c r="M5" s="17" t="n">
        <v>2000</v>
      </c>
      <c r="N5" s="17" t="n">
        <v>2000</v>
      </c>
      <c r="O5" s="17" t="n">
        <v>2000</v>
      </c>
      <c r="P5" s="17" t="n">
        <v>2000</v>
      </c>
      <c r="Q5" s="17" t="n">
        <v>2000</v>
      </c>
      <c r="R5" s="17" t="n">
        <v>2000</v>
      </c>
      <c r="S5" s="17" t="n">
        <v>2000</v>
      </c>
      <c r="T5" s="17" t="n">
        <v>2000</v>
      </c>
      <c r="U5" s="17" t="n">
        <v>2000</v>
      </c>
      <c r="V5" s="17" t="n">
        <v>2000</v>
      </c>
      <c r="W5" s="17" t="n">
        <v>2000</v>
      </c>
      <c r="X5" s="17" t="n">
        <v>2000</v>
      </c>
      <c r="Y5" s="17" t="n">
        <v>2000</v>
      </c>
      <c r="Z5" s="17" t="n">
        <v>2000</v>
      </c>
      <c r="AA5" s="17" t="n">
        <v>2000</v>
      </c>
      <c r="AB5" s="17" t="n">
        <v>2000</v>
      </c>
      <c r="AC5" s="17" t="n">
        <v>2000</v>
      </c>
      <c r="AD5" s="17" t="n">
        <v>2000</v>
      </c>
      <c r="AE5" s="17" t="n">
        <v>2000</v>
      </c>
      <c r="AF5" s="17" t="n">
        <v>2000</v>
      </c>
      <c r="AG5" s="17" t="n">
        <v>2000</v>
      </c>
      <c r="AH5" s="17" t="n">
        <v>2000</v>
      </c>
      <c r="AI5" s="17" t="n">
        <v>2000</v>
      </c>
      <c r="AJ5" s="17" t="n">
        <v>2000</v>
      </c>
      <c r="AK5" s="17" t="n">
        <v>2000</v>
      </c>
    </row>
    <row r="6">
      <c r="A6" s="9" t="inlineStr">
        <is>
          <t>Support (part-time)</t>
        </is>
      </c>
      <c r="B6" s="17" t="n">
        <v>0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7" t="n">
        <v>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  <c r="R6" s="17" t="n">
        <v>0</v>
      </c>
      <c r="S6" s="17" t="n">
        <v>1200</v>
      </c>
      <c r="T6" s="17" t="n">
        <v>1200</v>
      </c>
      <c r="U6" s="17" t="n">
        <v>1200</v>
      </c>
      <c r="V6" s="17" t="n">
        <v>1200</v>
      </c>
      <c r="W6" s="17" t="n">
        <v>1200</v>
      </c>
      <c r="X6" s="17" t="n">
        <v>1200</v>
      </c>
      <c r="Y6" s="17" t="n">
        <v>1200</v>
      </c>
      <c r="Z6" s="17" t="n">
        <v>1200</v>
      </c>
      <c r="AA6" s="17" t="n">
        <v>1200</v>
      </c>
      <c r="AB6" s="17" t="n">
        <v>1200</v>
      </c>
      <c r="AC6" s="17" t="n">
        <v>1200</v>
      </c>
      <c r="AD6" s="17" t="n">
        <v>1200</v>
      </c>
      <c r="AE6" s="17" t="n">
        <v>2200</v>
      </c>
      <c r="AF6" s="17" t="n">
        <v>2200</v>
      </c>
      <c r="AG6" s="17" t="n">
        <v>2200</v>
      </c>
      <c r="AH6" s="17" t="n">
        <v>2200</v>
      </c>
      <c r="AI6" s="17" t="n">
        <v>2200</v>
      </c>
      <c r="AJ6" s="17" t="n">
        <v>2200</v>
      </c>
      <c r="AK6" s="17" t="n">
        <v>2200</v>
      </c>
    </row>
    <row r="7">
      <c r="A7" s="18" t="inlineStr">
        <is>
          <t xml:space="preserve">  Total people</t>
        </is>
      </c>
      <c r="B7" s="19">
        <f>SUM(B5:B6)</f>
        <v/>
      </c>
      <c r="C7" s="19">
        <f>SUM(C5:C6)</f>
        <v/>
      </c>
      <c r="D7" s="19">
        <f>SUM(D5:D6)</f>
        <v/>
      </c>
      <c r="E7" s="19">
        <f>SUM(E5:E6)</f>
        <v/>
      </c>
      <c r="F7" s="19">
        <f>SUM(F5:F6)</f>
        <v/>
      </c>
      <c r="G7" s="19">
        <f>SUM(G5:G6)</f>
        <v/>
      </c>
      <c r="H7" s="19">
        <f>SUM(H5:H6)</f>
        <v/>
      </c>
      <c r="I7" s="19">
        <f>SUM(I5:I6)</f>
        <v/>
      </c>
      <c r="J7" s="19">
        <f>SUM(J5:J6)</f>
        <v/>
      </c>
      <c r="K7" s="19">
        <f>SUM(K5:K6)</f>
        <v/>
      </c>
      <c r="L7" s="19">
        <f>SUM(L5:L6)</f>
        <v/>
      </c>
      <c r="M7" s="19">
        <f>SUM(M5:M6)</f>
        <v/>
      </c>
      <c r="N7" s="19">
        <f>SUM(N5:N6)</f>
        <v/>
      </c>
      <c r="O7" s="19">
        <f>SUM(O5:O6)</f>
        <v/>
      </c>
      <c r="P7" s="19">
        <f>SUM(P5:P6)</f>
        <v/>
      </c>
      <c r="Q7" s="19">
        <f>SUM(Q5:Q6)</f>
        <v/>
      </c>
      <c r="R7" s="19">
        <f>SUM(R5:R6)</f>
        <v/>
      </c>
      <c r="S7" s="19">
        <f>SUM(S5:S6)</f>
        <v/>
      </c>
      <c r="T7" s="19">
        <f>SUM(T5:T6)</f>
        <v/>
      </c>
      <c r="U7" s="19">
        <f>SUM(U5:U6)</f>
        <v/>
      </c>
      <c r="V7" s="19">
        <f>SUM(V5:V6)</f>
        <v/>
      </c>
      <c r="W7" s="19">
        <f>SUM(W5:W6)</f>
        <v/>
      </c>
      <c r="X7" s="19">
        <f>SUM(X5:X6)</f>
        <v/>
      </c>
      <c r="Y7" s="19">
        <f>SUM(Y5:Y6)</f>
        <v/>
      </c>
      <c r="Z7" s="19">
        <f>SUM(Z5:Z6)</f>
        <v/>
      </c>
      <c r="AA7" s="19">
        <f>SUM(AA5:AA6)</f>
        <v/>
      </c>
      <c r="AB7" s="19">
        <f>SUM(AB5:AB6)</f>
        <v/>
      </c>
      <c r="AC7" s="19">
        <f>SUM(AC5:AC6)</f>
        <v/>
      </c>
      <c r="AD7" s="19">
        <f>SUM(AD5:AD6)</f>
        <v/>
      </c>
      <c r="AE7" s="19">
        <f>SUM(AE5:AE6)</f>
        <v/>
      </c>
      <c r="AF7" s="19">
        <f>SUM(AF5:AF6)</f>
        <v/>
      </c>
      <c r="AG7" s="19">
        <f>SUM(AG5:AG6)</f>
        <v/>
      </c>
      <c r="AH7" s="19">
        <f>SUM(AH5:AH6)</f>
        <v/>
      </c>
      <c r="AI7" s="19">
        <f>SUM(AI5:AI6)</f>
        <v/>
      </c>
      <c r="AJ7" s="19">
        <f>SUM(AJ5:AJ6)</f>
        <v/>
      </c>
      <c r="AK7" s="19">
        <f>SUM(AK5:AK6)</f>
        <v/>
      </c>
    </row>
    <row r="9">
      <c r="A9" s="21" t="inlineStr">
        <is>
          <t>INFRASTRUCTURE + OPEX</t>
        </is>
      </c>
    </row>
    <row r="10">
      <c r="A10" s="9" t="inlineStr">
        <is>
          <t>Infra + opex</t>
        </is>
      </c>
      <c r="B10" s="17" t="n">
        <v>550</v>
      </c>
      <c r="C10" s="17" t="n">
        <v>550</v>
      </c>
      <c r="D10" s="17" t="n">
        <v>550</v>
      </c>
      <c r="E10" s="17" t="n">
        <v>550</v>
      </c>
      <c r="F10" s="17" t="n">
        <v>550</v>
      </c>
      <c r="G10" s="17" t="n">
        <v>670</v>
      </c>
      <c r="H10" s="17" t="n">
        <v>670</v>
      </c>
      <c r="I10" s="17" t="n">
        <v>670</v>
      </c>
      <c r="J10" s="17" t="n">
        <v>670</v>
      </c>
      <c r="K10" s="17" t="n">
        <v>670</v>
      </c>
      <c r="L10" s="17" t="n">
        <v>670</v>
      </c>
      <c r="M10" s="17" t="n">
        <v>670</v>
      </c>
      <c r="N10" s="17" t="n">
        <v>670</v>
      </c>
      <c r="O10" s="17" t="n">
        <v>670</v>
      </c>
      <c r="P10" s="17" t="n">
        <v>670</v>
      </c>
      <c r="Q10" s="17" t="n">
        <v>670</v>
      </c>
      <c r="R10" s="17" t="n">
        <v>670</v>
      </c>
      <c r="S10" s="17" t="n">
        <v>790</v>
      </c>
      <c r="T10" s="17" t="n">
        <v>790</v>
      </c>
      <c r="U10" s="17" t="n">
        <v>790</v>
      </c>
      <c r="V10" s="17" t="n">
        <v>790</v>
      </c>
      <c r="W10" s="17" t="n">
        <v>790</v>
      </c>
      <c r="X10" s="17" t="n">
        <v>790</v>
      </c>
      <c r="Y10" s="17" t="n">
        <v>790</v>
      </c>
      <c r="Z10" s="17" t="n">
        <v>790</v>
      </c>
      <c r="AA10" s="17" t="n">
        <v>790</v>
      </c>
      <c r="AB10" s="17" t="n">
        <v>790</v>
      </c>
      <c r="AC10" s="17" t="n">
        <v>790</v>
      </c>
      <c r="AD10" s="17" t="n">
        <v>790</v>
      </c>
      <c r="AE10" s="17" t="n">
        <v>910</v>
      </c>
      <c r="AF10" s="17" t="n">
        <v>910</v>
      </c>
      <c r="AG10" s="17" t="n">
        <v>910</v>
      </c>
      <c r="AH10" s="17" t="n">
        <v>910</v>
      </c>
      <c r="AI10" s="17" t="n">
        <v>910</v>
      </c>
      <c r="AJ10" s="17" t="n">
        <v>910</v>
      </c>
      <c r="AK10" s="17" t="n">
        <v>910</v>
      </c>
    </row>
    <row r="12">
      <c r="A12" s="22" t="inlineStr">
        <is>
          <t>TOTAL COSTS</t>
        </is>
      </c>
      <c r="B12" s="23">
        <f>B7+B10</f>
        <v/>
      </c>
      <c r="C12" s="23">
        <f>C7+C10</f>
        <v/>
      </c>
      <c r="D12" s="23">
        <f>D7+D10</f>
        <v/>
      </c>
      <c r="E12" s="23">
        <f>E7+E10</f>
        <v/>
      </c>
      <c r="F12" s="23">
        <f>F7+F10</f>
        <v/>
      </c>
      <c r="G12" s="23">
        <f>G7+G10</f>
        <v/>
      </c>
      <c r="H12" s="23">
        <f>H7+H10</f>
        <v/>
      </c>
      <c r="I12" s="23">
        <f>I7+I10</f>
        <v/>
      </c>
      <c r="J12" s="23">
        <f>J7+J10</f>
        <v/>
      </c>
      <c r="K12" s="23">
        <f>K7+K10</f>
        <v/>
      </c>
      <c r="L12" s="23">
        <f>L7+L10</f>
        <v/>
      </c>
      <c r="M12" s="23">
        <f>M7+M10</f>
        <v/>
      </c>
      <c r="N12" s="23">
        <f>N7+N10</f>
        <v/>
      </c>
      <c r="O12" s="23">
        <f>O7+O10</f>
        <v/>
      </c>
      <c r="P12" s="23">
        <f>P7+P10</f>
        <v/>
      </c>
      <c r="Q12" s="23">
        <f>Q7+Q10</f>
        <v/>
      </c>
      <c r="R12" s="23">
        <f>R7+R10</f>
        <v/>
      </c>
      <c r="S12" s="23">
        <f>S7+S10</f>
        <v/>
      </c>
      <c r="T12" s="23">
        <f>T7+T10</f>
        <v/>
      </c>
      <c r="U12" s="23">
        <f>U7+U10</f>
        <v/>
      </c>
      <c r="V12" s="23">
        <f>V7+V10</f>
        <v/>
      </c>
      <c r="W12" s="23">
        <f>W7+W10</f>
        <v/>
      </c>
      <c r="X12" s="23">
        <f>X7+X10</f>
        <v/>
      </c>
      <c r="Y12" s="23">
        <f>Y7+Y10</f>
        <v/>
      </c>
      <c r="Z12" s="23">
        <f>Z7+Z10</f>
        <v/>
      </c>
      <c r="AA12" s="23">
        <f>AA7+AA10</f>
        <v/>
      </c>
      <c r="AB12" s="23">
        <f>AB7+AB10</f>
        <v/>
      </c>
      <c r="AC12" s="23">
        <f>AC7+AC10</f>
        <v/>
      </c>
      <c r="AD12" s="23">
        <f>AD7+AD10</f>
        <v/>
      </c>
      <c r="AE12" s="23">
        <f>AE7+AE10</f>
        <v/>
      </c>
      <c r="AF12" s="23">
        <f>AF7+AF10</f>
        <v/>
      </c>
      <c r="AG12" s="23">
        <f>AG7+AG10</f>
        <v/>
      </c>
      <c r="AH12" s="23">
        <f>AH7+AH10</f>
        <v/>
      </c>
      <c r="AI12" s="23">
        <f>AI7+AI10</f>
        <v/>
      </c>
      <c r="AJ12" s="23">
        <f>AJ7+AJ10</f>
        <v/>
      </c>
      <c r="AK12" s="23">
        <f>AK7+AK10</f>
        <v/>
      </c>
    </row>
  </sheetData>
  <mergeCells count="1">
    <mergeCell ref="A1:A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30" customHeight="1">
      <c r="A1" s="6" t="inlineStr">
        <is>
          <t>P&amp;L SUMMARY — month by month (honest base case)</t>
        </is>
      </c>
    </row>
    <row r="3" ht="24" customHeight="1">
      <c r="A3" s="14" t="inlineStr">
        <is>
          <t>Month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  <c r="AG3" s="14" t="n">
        <v>32</v>
      </c>
      <c r="AH3" s="14" t="n">
        <v>33</v>
      </c>
      <c r="AI3" s="14" t="n">
        <v>34</v>
      </c>
      <c r="AJ3" s="14" t="n">
        <v>35</v>
      </c>
      <c r="AK3" s="14" t="n">
        <v>36</v>
      </c>
    </row>
    <row r="4">
      <c r="A4" s="18" t="inlineStr">
        <is>
          <t>Revenue</t>
        </is>
      </c>
      <c r="B4" s="17">
        <f>'3. Revenue'!B22</f>
        <v/>
      </c>
      <c r="C4" s="17">
        <f>'3. Revenue'!C22</f>
        <v/>
      </c>
      <c r="D4" s="17">
        <f>'3. Revenue'!D22</f>
        <v/>
      </c>
      <c r="E4" s="17">
        <f>'3. Revenue'!E22</f>
        <v/>
      </c>
      <c r="F4" s="17">
        <f>'3. Revenue'!F22</f>
        <v/>
      </c>
      <c r="G4" s="17">
        <f>'3. Revenue'!G22</f>
        <v/>
      </c>
      <c r="H4" s="17">
        <f>'3. Revenue'!H22</f>
        <v/>
      </c>
      <c r="I4" s="17">
        <f>'3. Revenue'!I22</f>
        <v/>
      </c>
      <c r="J4" s="17">
        <f>'3. Revenue'!J22</f>
        <v/>
      </c>
      <c r="K4" s="17">
        <f>'3. Revenue'!K22</f>
        <v/>
      </c>
      <c r="L4" s="17">
        <f>'3. Revenue'!L22</f>
        <v/>
      </c>
      <c r="M4" s="17">
        <f>'3. Revenue'!M22</f>
        <v/>
      </c>
      <c r="N4" s="17">
        <f>'3. Revenue'!N22</f>
        <v/>
      </c>
      <c r="O4" s="17">
        <f>'3. Revenue'!O22</f>
        <v/>
      </c>
      <c r="P4" s="17">
        <f>'3. Revenue'!P22</f>
        <v/>
      </c>
      <c r="Q4" s="17">
        <f>'3. Revenue'!Q22</f>
        <v/>
      </c>
      <c r="R4" s="17">
        <f>'3. Revenue'!R22</f>
        <v/>
      </c>
      <c r="S4" s="17">
        <f>'3. Revenue'!S22</f>
        <v/>
      </c>
      <c r="T4" s="17">
        <f>'3. Revenue'!T22</f>
        <v/>
      </c>
      <c r="U4" s="17">
        <f>'3. Revenue'!U22</f>
        <v/>
      </c>
      <c r="V4" s="17">
        <f>'3. Revenue'!V22</f>
        <v/>
      </c>
      <c r="W4" s="17">
        <f>'3. Revenue'!W22</f>
        <v/>
      </c>
      <c r="X4" s="17">
        <f>'3. Revenue'!X22</f>
        <v/>
      </c>
      <c r="Y4" s="17">
        <f>'3. Revenue'!Y22</f>
        <v/>
      </c>
      <c r="Z4" s="17">
        <f>'3. Revenue'!Z22</f>
        <v/>
      </c>
      <c r="AA4" s="17">
        <f>'3. Revenue'!AA22</f>
        <v/>
      </c>
      <c r="AB4" s="17">
        <f>'3. Revenue'!AB22</f>
        <v/>
      </c>
      <c r="AC4" s="17">
        <f>'3. Revenue'!AC22</f>
        <v/>
      </c>
      <c r="AD4" s="17">
        <f>'3. Revenue'!AD22</f>
        <v/>
      </c>
      <c r="AE4" s="17">
        <f>'3. Revenue'!AE22</f>
        <v/>
      </c>
      <c r="AF4" s="17">
        <f>'3. Revenue'!AF22</f>
        <v/>
      </c>
      <c r="AG4" s="17">
        <f>'3. Revenue'!AG22</f>
        <v/>
      </c>
      <c r="AH4" s="17">
        <f>'3. Revenue'!AH22</f>
        <v/>
      </c>
      <c r="AI4" s="17">
        <f>'3. Revenue'!AI22</f>
        <v/>
      </c>
      <c r="AJ4" s="17">
        <f>'3. Revenue'!AJ22</f>
        <v/>
      </c>
      <c r="AK4" s="17">
        <f>'3. Revenue'!AK22</f>
        <v/>
      </c>
    </row>
    <row r="5">
      <c r="A5" s="18" t="inlineStr">
        <is>
          <t>Costs</t>
        </is>
      </c>
      <c r="B5" s="17">
        <f>-'4. Costs'!B12</f>
        <v/>
      </c>
      <c r="C5" s="17">
        <f>-'4. Costs'!C12</f>
        <v/>
      </c>
      <c r="D5" s="17">
        <f>-'4. Costs'!D12</f>
        <v/>
      </c>
      <c r="E5" s="17">
        <f>-'4. Costs'!E12</f>
        <v/>
      </c>
      <c r="F5" s="17">
        <f>-'4. Costs'!F12</f>
        <v/>
      </c>
      <c r="G5" s="17">
        <f>-'4. Costs'!G12</f>
        <v/>
      </c>
      <c r="H5" s="17">
        <f>-'4. Costs'!H12</f>
        <v/>
      </c>
      <c r="I5" s="17">
        <f>-'4. Costs'!I12</f>
        <v/>
      </c>
      <c r="J5" s="17">
        <f>-'4. Costs'!J12</f>
        <v/>
      </c>
      <c r="K5" s="17">
        <f>-'4. Costs'!K12</f>
        <v/>
      </c>
      <c r="L5" s="17">
        <f>-'4. Costs'!L12</f>
        <v/>
      </c>
      <c r="M5" s="17">
        <f>-'4. Costs'!M12</f>
        <v/>
      </c>
      <c r="N5" s="17">
        <f>-'4. Costs'!N12</f>
        <v/>
      </c>
      <c r="O5" s="17">
        <f>-'4. Costs'!O12</f>
        <v/>
      </c>
      <c r="P5" s="17">
        <f>-'4. Costs'!P12</f>
        <v/>
      </c>
      <c r="Q5" s="17">
        <f>-'4. Costs'!Q12</f>
        <v/>
      </c>
      <c r="R5" s="17">
        <f>-'4. Costs'!R12</f>
        <v/>
      </c>
      <c r="S5" s="17">
        <f>-'4. Costs'!S12</f>
        <v/>
      </c>
      <c r="T5" s="17">
        <f>-'4. Costs'!T12</f>
        <v/>
      </c>
      <c r="U5" s="17">
        <f>-'4. Costs'!U12</f>
        <v/>
      </c>
      <c r="V5" s="17">
        <f>-'4. Costs'!V12</f>
        <v/>
      </c>
      <c r="W5" s="17">
        <f>-'4. Costs'!W12</f>
        <v/>
      </c>
      <c r="X5" s="17">
        <f>-'4. Costs'!X12</f>
        <v/>
      </c>
      <c r="Y5" s="17">
        <f>-'4. Costs'!Y12</f>
        <v/>
      </c>
      <c r="Z5" s="17">
        <f>-'4. Costs'!Z12</f>
        <v/>
      </c>
      <c r="AA5" s="17">
        <f>-'4. Costs'!AA12</f>
        <v/>
      </c>
      <c r="AB5" s="17">
        <f>-'4. Costs'!AB12</f>
        <v/>
      </c>
      <c r="AC5" s="17">
        <f>-'4. Costs'!AC12</f>
        <v/>
      </c>
      <c r="AD5" s="17">
        <f>-'4. Costs'!AD12</f>
        <v/>
      </c>
      <c r="AE5" s="17">
        <f>-'4. Costs'!AE12</f>
        <v/>
      </c>
      <c r="AF5" s="17">
        <f>-'4. Costs'!AF12</f>
        <v/>
      </c>
      <c r="AG5" s="17">
        <f>-'4. Costs'!AG12</f>
        <v/>
      </c>
      <c r="AH5" s="17">
        <f>-'4. Costs'!AH12</f>
        <v/>
      </c>
      <c r="AI5" s="17">
        <f>-'4. Costs'!AI12</f>
        <v/>
      </c>
      <c r="AJ5" s="17">
        <f>-'4. Costs'!AJ12</f>
        <v/>
      </c>
      <c r="AK5" s="17">
        <f>-'4. Costs'!AK12</f>
        <v/>
      </c>
    </row>
    <row r="6">
      <c r="A6" s="22" t="inlineStr">
        <is>
          <t>NET</t>
        </is>
      </c>
      <c r="B6" s="26">
        <f>B4+B5</f>
        <v/>
      </c>
      <c r="C6" s="26">
        <f>C4+C5</f>
        <v/>
      </c>
      <c r="D6" s="26">
        <f>D4+D5</f>
        <v/>
      </c>
      <c r="E6" s="26">
        <f>E4+E5</f>
        <v/>
      </c>
      <c r="F6" s="26">
        <f>F4+F5</f>
        <v/>
      </c>
      <c r="G6" s="26">
        <f>G4+G5</f>
        <v/>
      </c>
      <c r="H6" s="26">
        <f>H4+H5</f>
        <v/>
      </c>
      <c r="I6" s="26">
        <f>I4+I5</f>
        <v/>
      </c>
      <c r="J6" s="26">
        <f>J4+J5</f>
        <v/>
      </c>
      <c r="K6" s="26">
        <f>K4+K5</f>
        <v/>
      </c>
      <c r="L6" s="26">
        <f>L4+L5</f>
        <v/>
      </c>
      <c r="M6" s="26">
        <f>M4+M5</f>
        <v/>
      </c>
      <c r="N6" s="26">
        <f>N4+N5</f>
        <v/>
      </c>
      <c r="O6" s="26">
        <f>O4+O5</f>
        <v/>
      </c>
      <c r="P6" s="26">
        <f>P4+P5</f>
        <v/>
      </c>
      <c r="Q6" s="26">
        <f>Q4+Q5</f>
        <v/>
      </c>
      <c r="R6" s="26">
        <f>R4+R5</f>
        <v/>
      </c>
      <c r="S6" s="26">
        <f>S4+S5</f>
        <v/>
      </c>
      <c r="T6" s="26">
        <f>T4+T5</f>
        <v/>
      </c>
      <c r="U6" s="26">
        <f>U4+U5</f>
        <v/>
      </c>
      <c r="V6" s="26">
        <f>V4+V5</f>
        <v/>
      </c>
      <c r="W6" s="26">
        <f>W4+W5</f>
        <v/>
      </c>
      <c r="X6" s="26">
        <f>X4+X5</f>
        <v/>
      </c>
      <c r="Y6" s="26">
        <f>Y4+Y5</f>
        <v/>
      </c>
      <c r="Z6" s="26">
        <f>Z4+Z5</f>
        <v/>
      </c>
      <c r="AA6" s="26">
        <f>AA4+AA5</f>
        <v/>
      </c>
      <c r="AB6" s="26">
        <f>AB4+AB5</f>
        <v/>
      </c>
      <c r="AC6" s="26">
        <f>AC4+AC5</f>
        <v/>
      </c>
      <c r="AD6" s="26">
        <f>AD4+AD5</f>
        <v/>
      </c>
      <c r="AE6" s="26">
        <f>AE4+AE5</f>
        <v/>
      </c>
      <c r="AF6" s="26">
        <f>AF4+AF5</f>
        <v/>
      </c>
      <c r="AG6" s="26">
        <f>AG4+AG5</f>
        <v/>
      </c>
      <c r="AH6" s="26">
        <f>AH4+AH5</f>
        <v/>
      </c>
      <c r="AI6" s="26">
        <f>AI4+AI5</f>
        <v/>
      </c>
      <c r="AJ6" s="26">
        <f>AJ4+AJ5</f>
        <v/>
      </c>
      <c r="AK6" s="26">
        <f>AK4+AK5</f>
        <v/>
      </c>
    </row>
    <row r="7">
      <c r="A7" s="18" t="inlineStr">
        <is>
          <t>Cumulative net</t>
        </is>
      </c>
      <c r="B7" s="17">
        <f>B6</f>
        <v/>
      </c>
      <c r="C7" s="17">
        <f>C6+B7</f>
        <v/>
      </c>
      <c r="D7" s="17">
        <f>D6+C7</f>
        <v/>
      </c>
      <c r="E7" s="17">
        <f>E6+D7</f>
        <v/>
      </c>
      <c r="F7" s="17">
        <f>F6+E7</f>
        <v/>
      </c>
      <c r="G7" s="17">
        <f>G6+F7</f>
        <v/>
      </c>
      <c r="H7" s="17">
        <f>H6+G7</f>
        <v/>
      </c>
      <c r="I7" s="17">
        <f>I6+H7</f>
        <v/>
      </c>
      <c r="J7" s="17">
        <f>J6+I7</f>
        <v/>
      </c>
      <c r="K7" s="17">
        <f>K6+J7</f>
        <v/>
      </c>
      <c r="L7" s="17">
        <f>L6+K7</f>
        <v/>
      </c>
      <c r="M7" s="17">
        <f>M6+L7</f>
        <v/>
      </c>
      <c r="N7" s="17">
        <f>N6+M7</f>
        <v/>
      </c>
      <c r="O7" s="17">
        <f>O6+N7</f>
        <v/>
      </c>
      <c r="P7" s="17">
        <f>P6+O7</f>
        <v/>
      </c>
      <c r="Q7" s="17">
        <f>Q6+P7</f>
        <v/>
      </c>
      <c r="R7" s="17">
        <f>R6+Q7</f>
        <v/>
      </c>
      <c r="S7" s="17">
        <f>S6+R7</f>
        <v/>
      </c>
      <c r="T7" s="17">
        <f>T6+S7</f>
        <v/>
      </c>
      <c r="U7" s="17">
        <f>U6+T7</f>
        <v/>
      </c>
      <c r="V7" s="17">
        <f>V6+U7</f>
        <v/>
      </c>
      <c r="W7" s="17">
        <f>W6+V7</f>
        <v/>
      </c>
      <c r="X7" s="17">
        <f>X6+W7</f>
        <v/>
      </c>
      <c r="Y7" s="17">
        <f>Y6+X7</f>
        <v/>
      </c>
      <c r="Z7" s="17">
        <f>Z6+Y7</f>
        <v/>
      </c>
      <c r="AA7" s="17">
        <f>AA6+Z7</f>
        <v/>
      </c>
      <c r="AB7" s="17">
        <f>AB6+AA7</f>
        <v/>
      </c>
      <c r="AC7" s="17">
        <f>AC6+AB7</f>
        <v/>
      </c>
      <c r="AD7" s="17">
        <f>AD6+AC7</f>
        <v/>
      </c>
      <c r="AE7" s="17">
        <f>AE6+AD7</f>
        <v/>
      </c>
      <c r="AF7" s="17">
        <f>AF6+AE7</f>
        <v/>
      </c>
      <c r="AG7" s="17">
        <f>AG6+AF7</f>
        <v/>
      </c>
      <c r="AH7" s="17">
        <f>AH6+AG7</f>
        <v/>
      </c>
      <c r="AI7" s="17">
        <f>AI6+AH7</f>
        <v/>
      </c>
      <c r="AJ7" s="17">
        <f>AJ6+AI7</f>
        <v/>
      </c>
      <c r="AK7" s="17">
        <f>AK6+AJ7</f>
        <v/>
      </c>
    </row>
    <row r="10">
      <c r="A10" s="27" t="inlineStr">
        <is>
          <t>YEARLY SUMMARY</t>
        </is>
      </c>
    </row>
    <row r="11">
      <c r="B11" s="14" t="inlineStr">
        <is>
          <t>Year 1</t>
        </is>
      </c>
      <c r="C11" s="14" t="inlineStr">
        <is>
          <t>Year 2</t>
        </is>
      </c>
      <c r="D11" s="14" t="inlineStr">
        <is>
          <t>Year 3</t>
        </is>
      </c>
      <c r="E11" s="14" t="inlineStr">
        <is>
          <t>3-yr total</t>
        </is>
      </c>
    </row>
    <row r="12">
      <c r="A12" s="18" t="inlineStr">
        <is>
          <t>Revenue</t>
        </is>
      </c>
      <c r="B12" s="17">
        <f>SUM(B4:M4)</f>
        <v/>
      </c>
      <c r="C12" s="17">
        <f>SUM(N4:Y4)</f>
        <v/>
      </c>
      <c r="D12" s="17">
        <f>SUM(Z4:AK4)</f>
        <v/>
      </c>
      <c r="E12" s="17">
        <f>B12+C12+D12</f>
        <v/>
      </c>
    </row>
    <row r="13">
      <c r="A13" s="18" t="inlineStr">
        <is>
          <t>Costs</t>
        </is>
      </c>
      <c r="B13" s="17">
        <f>SUM(B5:M5)</f>
        <v/>
      </c>
      <c r="C13" s="17">
        <f>SUM(N5:Y5)</f>
        <v/>
      </c>
      <c r="D13" s="17">
        <f>SUM(Z5:AK5)</f>
        <v/>
      </c>
      <c r="E13" s="17">
        <f>B13+C13+D13</f>
        <v/>
      </c>
    </row>
    <row r="14">
      <c r="A14" s="22" t="inlineStr">
        <is>
          <t>NET</t>
        </is>
      </c>
      <c r="B14" s="19">
        <f>B12+B13</f>
        <v/>
      </c>
      <c r="C14" s="19">
        <f>C12+C13</f>
        <v/>
      </c>
      <c r="D14" s="19">
        <f>D12+D13</f>
        <v/>
      </c>
      <c r="E14" s="19">
        <f>B14+C14+D14</f>
        <v/>
      </c>
    </row>
    <row r="16">
      <c r="A16" s="28" t="inlineStr">
        <is>
          <t>NOTES — read before quoting any number</t>
        </is>
      </c>
    </row>
    <row r="17" ht="28" customHeight="1">
      <c r="A17" s="29" t="inlineStr">
        <is>
          <t>•  LEANEST BASE CASE. 3 houses (1 -&gt; 2 -&gt; 3), 15% adoption ceiling, founder-lean costs. Deliberately conservative for a startup breaking a manual market.</t>
        </is>
      </c>
    </row>
    <row r="18" ht="28" customHeight="1">
      <c r="A18" s="29" t="inlineStr">
        <is>
          <t>•  Investment-stage through all 3 years: Y1 net ~-$19k, Y2 ~-$13k, Y3 ~-$7k. Standalone break-even sits BEYOND month 36.</t>
        </is>
      </c>
    </row>
    <row r="19" ht="28" customHeight="1">
      <c r="A19" s="29" t="inlineStr">
        <is>
          <t>•  The binding constraint is SCALE + FIXED COST, not adoption. Pushing adoption 15% -&gt; 30% improves Y3 monthly net by only ~$200. A mature house contributes ~$15-21k/yr; fixed cost is ~$48-55k/yr.</t>
        </is>
      </c>
    </row>
    <row r="20" ht="28" customHeight="1">
      <c r="A20" s="29" t="inlineStr">
        <is>
          <t>•  Revenue is retainer-led (Y3: ~$37k retainer of ~$49k total). The recurring spine is reliable; tx-surcharge is small but compounds with adoption.</t>
        </is>
      </c>
    </row>
    <row r="21" ht="28" customHeight="1">
      <c r="A21" s="29" t="inlineStr">
        <is>
          <t>•  GMV routed onto Paynow rails: ~$43k (Y1) -&gt; ~$223k (Y2) -&gt; ~$545k (Y3). This is the number that matters most to Paynow and grows fastest.</t>
        </is>
      </c>
    </row>
    <row r="22" ht="28" customHeight="1">
      <c r="A22" s="29" t="inlineStr">
        <is>
          <t>•  PATH-TO-VIABILITY (NOT base case): with 6 houses by m44, 20% adoption, and transport margin, cumulative net turns positive ~month 36 and reaches ~+$103k by month 60.</t>
        </is>
      </c>
    </row>
    <row r="23" ht="28" customHeight="1">
      <c r="A23" s="29" t="inlineStr">
        <is>
          <t>•  All figures USD. Not modelled: fundraising (none assumed), corporate tax, working-capital float, transport revenue (upside).</t>
        </is>
      </c>
    </row>
  </sheetData>
  <mergeCells count="10">
    <mergeCell ref="A16:F16"/>
    <mergeCell ref="A10:F10"/>
    <mergeCell ref="A20:O20"/>
    <mergeCell ref="A19:O19"/>
    <mergeCell ref="A1:AL1"/>
    <mergeCell ref="A23:O23"/>
    <mergeCell ref="A22:O22"/>
    <mergeCell ref="A17:O17"/>
    <mergeCell ref="A18:O18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2026-06-04T07:05:51Z</dcterms:created>
  <dcterms:modified xsi:type="dcterms:W3CDTF">2026-06-04T07:05:51Z</dcterms:modified>
</cp:coreProperties>
</file>